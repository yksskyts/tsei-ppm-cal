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SH\Desktop\고분자센서\"/>
    </mc:Choice>
  </mc:AlternateContent>
  <bookViews>
    <workbookView xWindow="0" yWindow="0" windowWidth="28800" windowHeight="11835" activeTab="2"/>
  </bookViews>
  <sheets>
    <sheet name="그래프" sheetId="5" r:id="rId1"/>
    <sheet name="고분자 18종 특성 요약" sheetId="2" r:id="rId2"/>
    <sheet name="용매 특성 요약" sheetId="3" r:id="rId3"/>
    <sheet name="Sheet2" sheetId="4" r:id="rId4"/>
    <sheet name="Sheet1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</calcChain>
</file>

<file path=xl/sharedStrings.xml><?xml version="1.0" encoding="utf-8"?>
<sst xmlns="http://schemas.openxmlformats.org/spreadsheetml/2006/main" count="429" uniqueCount="282">
  <si>
    <t>사용하고 있는 고분자 18종에 대한 특성 요약 (chat GPT)</t>
    <phoneticPr fontId="2" type="noConversion"/>
  </si>
  <si>
    <t>고분자</t>
  </si>
  <si>
    <t>극성 여부</t>
  </si>
  <si>
    <t>수소결합 여부</t>
  </si>
  <si>
    <t>추천 용매</t>
  </si>
  <si>
    <t>주요 특성</t>
  </si>
  <si>
    <t>EPDM</t>
  </si>
  <si>
    <t>비극성</t>
  </si>
  <si>
    <t>없음</t>
  </si>
  <si>
    <t>Toluene, Xylene, Cyclohexane</t>
  </si>
  <si>
    <t>내후성, 내열성, 내화학성 우수</t>
  </si>
  <si>
    <t>Poly(4-vinylphenol-co-methyl methacrylate)</t>
  </si>
  <si>
    <t>극성</t>
  </si>
  <si>
    <t>있음 (OH기)</t>
  </si>
  <si>
    <t>DMF, DMSO, NMP, THF, IPA</t>
  </si>
  <si>
    <t>친수성, 수소결합으로 우수한 접착력과 필름 형성 능력</t>
  </si>
  <si>
    <t>Poly(ethylene-co-acrylic acid) (PEAA)</t>
  </si>
  <si>
    <t>있음 (COOH기)</t>
  </si>
  <si>
    <t>IPA, Ethanol, DMF, THF</t>
  </si>
  <si>
    <t>높은 접착성, 친수성, 우수한 유연성과 내충격성</t>
  </si>
  <si>
    <t>Poly(styrene-co-maleic acid)</t>
  </si>
  <si>
    <t>DMF, DMSO, THF, Acetone</t>
  </si>
  <si>
    <t>내열성, 투명성 우수, 반응성 높아 표면 개질에 사용</t>
  </si>
  <si>
    <t>PVP (Poly(N-vinyl pyrrolidone))</t>
  </si>
  <si>
    <t>있음 (아마이드기)</t>
  </si>
  <si>
    <t>Water, Ethanol, IPA, DMF</t>
  </si>
  <si>
    <t>친수성, 생체적합성 우수, 뛰어난 필름 형성 능력과 안정성</t>
  </si>
  <si>
    <t xml:space="preserve">Poly(2-vinyl pyridine) </t>
    <phoneticPr fontId="2" type="noConversion"/>
  </si>
  <si>
    <t>중간~강한 극성</t>
  </si>
  <si>
    <t>약함</t>
    <phoneticPr fontId="2" type="noConversion"/>
  </si>
  <si>
    <t>DMF, NMP, EtOH, MeOH, DMSO</t>
  </si>
  <si>
    <t>센서, 전해질, 기능성 고분자 코팅</t>
  </si>
  <si>
    <t xml:space="preserve">Poly(4-vinyl pyridine) </t>
    <phoneticPr fontId="2" type="noConversion"/>
  </si>
  <si>
    <t>강한 극성</t>
  </si>
  <si>
    <t>강함</t>
    <phoneticPr fontId="2" type="noConversion"/>
  </si>
  <si>
    <t>DMF, NMP, MeOH, DMSO</t>
  </si>
  <si>
    <t>센서, 박막 소자, 습도 감응소자</t>
  </si>
  <si>
    <t>Poly(vinyl alcohol-co-vinyl butyral) (PVB)</t>
    <phoneticPr fontId="2" type="noConversion"/>
  </si>
  <si>
    <t>Ethanol, IPA, THF</t>
  </si>
  <si>
    <t>투명도, 우수한 접착성 및 필름 형성력, 내충격성 우수</t>
  </si>
  <si>
    <t>Cyanoethyl hydroxyethyl cellulose</t>
  </si>
  <si>
    <t>있음 (OH, CN기)</t>
  </si>
  <si>
    <t>Water, DMF, DMSO, Formamide</t>
  </si>
  <si>
    <t>친수성, 우수한 점착력과 필름 형성 능력</t>
  </si>
  <si>
    <t>Ethyl cellulose</t>
    <phoneticPr fontId="2" type="noConversion"/>
  </si>
  <si>
    <t>약극성~비극성</t>
  </si>
  <si>
    <t>약함 (에테르기)</t>
  </si>
  <si>
    <t>Ethanol, Acetone, THF</t>
  </si>
  <si>
    <t>우수한 내수성, 유연한 필름 형성, 비수용성 셀룰로오스 유도체</t>
  </si>
  <si>
    <t>Poly(vinyl benzyl chloride)</t>
    <phoneticPr fontId="2" type="noConversion"/>
  </si>
  <si>
    <t>약함</t>
  </si>
  <si>
    <t>THF, Chloroform, DCM</t>
  </si>
  <si>
    <t>투명도, 유연성 및 우수한 내화학성</t>
  </si>
  <si>
    <t xml:space="preserve">Poly(ethylene-co-vinyl acetate) </t>
    <phoneticPr fontId="2" type="noConversion"/>
  </si>
  <si>
    <t>약극성</t>
  </si>
  <si>
    <t>Toluene, Xylene, Ethyl Acetate, THF</t>
  </si>
  <si>
    <t>박막 코팅, 방습 포장재, 가스 감응성 재료</t>
  </si>
  <si>
    <t>Poly(epichlorohydrin) (PECH)</t>
  </si>
  <si>
    <t>약함 (할로겐기)</t>
  </si>
  <si>
    <t>THF, Chloroform, Toluene</t>
  </si>
  <si>
    <t>내화학성, 저온에서 탄성 및 접착성 우수</t>
  </si>
  <si>
    <t>Poly(epichlorohydrin-co-ethylene oxide)</t>
  </si>
  <si>
    <t>THF, DCM, Chloroform</t>
  </si>
  <si>
    <t>탄성체 특성, 저온 유연성 및 가공성 우수</t>
  </si>
  <si>
    <t>Polystyrene (PS)</t>
  </si>
  <si>
    <t>Toluene, Xylene, THF, Chloroform</t>
  </si>
  <si>
    <t>우수한 전기적 특성, 투명성, 강성 및 내수성 우수</t>
  </si>
  <si>
    <t>Polyethylene Oxide (PEO)</t>
  </si>
  <si>
    <t>있음 (에테르기)</t>
  </si>
  <si>
    <t>Water, Methanol, Acetonitrile</t>
  </si>
  <si>
    <t>친수성, 우수한 이온전도성 및 생체적합성</t>
  </si>
  <si>
    <t>PMMA</t>
  </si>
  <si>
    <t>약함 (에스테르기)</t>
  </si>
  <si>
    <t>Acetone, THF, Chloroform</t>
  </si>
  <si>
    <t>높은 투명성, 우수한 기계적 강도, 내후성 및 내화학성 우수</t>
  </si>
  <si>
    <t>poly(Styrene-Maleic Anhydride ester)</t>
    <phoneticPr fontId="2" type="noConversion"/>
  </si>
  <si>
    <t>THF, DMF, DMSO, Chloroform</t>
  </si>
  <si>
    <t>필름 형성력 우수, 접착성, 내화학성 및 내열성 뛰어남</t>
  </si>
  <si>
    <t>Poly vinylidene fluoride-co-hexafluoropropylene (PVDF-HFP)</t>
    <phoneticPr fontId="2" type="noConversion"/>
  </si>
  <si>
    <t>사용하고 있는 용매 특성 요약</t>
    <phoneticPr fontId="2" type="noConversion"/>
  </si>
  <si>
    <t>구  분</t>
    <phoneticPr fontId="2" type="noConversion"/>
  </si>
  <si>
    <t xml:space="preserve">  항   목</t>
    <phoneticPr fontId="2" type="noConversion"/>
  </si>
  <si>
    <t>δd(MPa^0.5)
_분산력</t>
  </si>
  <si>
    <t>δp(MPa^0.5)
_극성력</t>
  </si>
  <si>
    <t>δh(MPa^0.5)
_수소결합력</t>
  </si>
  <si>
    <t>δt(MPa^0.5)
_전체용해도매개면수</t>
  </si>
  <si>
    <t>유전상수 (εr, 25°C)</t>
  </si>
  <si>
    <t>HLP(Hildebrand S.P)</t>
    <phoneticPr fontId="2" type="noConversion"/>
  </si>
  <si>
    <t>HLB(hydrophilic-lipophilic balance values)</t>
    <phoneticPr fontId="2" type="noConversion"/>
  </si>
  <si>
    <t>BP</t>
    <phoneticPr fontId="2" type="noConversion"/>
  </si>
  <si>
    <r>
      <t>증기압mmHg 25</t>
    </r>
    <r>
      <rPr>
        <b/>
        <sz val="9"/>
        <color rgb="FFFFFF00"/>
        <rFont val="맑은 고딕"/>
        <family val="3"/>
        <charset val="129"/>
      </rPr>
      <t>℃</t>
    </r>
    <r>
      <rPr>
        <b/>
        <sz val="9"/>
        <color rgb="FFFFFF00"/>
        <rFont val="Malgun Gothic"/>
        <family val="3"/>
        <charset val="129"/>
      </rPr>
      <t>)</t>
    </r>
    <phoneticPr fontId="2" type="noConversion"/>
  </si>
  <si>
    <r>
      <rPr>
        <b/>
        <sz val="10"/>
        <color rgb="FFFFFF00"/>
        <rFont val="Malgun Gothic"/>
        <family val="3"/>
        <charset val="129"/>
      </rPr>
      <t>점도</t>
    </r>
    <r>
      <rPr>
        <b/>
        <sz val="10"/>
        <color rgb="FFFFFF00"/>
        <rFont val="Arial"/>
        <family val="2"/>
      </rPr>
      <t xml:space="preserve"> (cP, 25°C </t>
    </r>
    <r>
      <rPr>
        <b/>
        <sz val="10"/>
        <color rgb="FFFFFF00"/>
        <rFont val="Malgun Gothic"/>
        <family val="3"/>
        <charset val="129"/>
      </rPr>
      <t>기준</t>
    </r>
    <r>
      <rPr>
        <b/>
        <sz val="10"/>
        <color rgb="FFFFFF00"/>
        <rFont val="Arial"/>
        <family val="2"/>
      </rPr>
      <t>)</t>
    </r>
  </si>
  <si>
    <r>
      <rPr>
        <b/>
        <sz val="10"/>
        <color rgb="FFFFFF00"/>
        <rFont val="Malgun Gothic"/>
        <family val="3"/>
        <charset val="129"/>
      </rPr>
      <t>상대</t>
    </r>
    <r>
      <rPr>
        <b/>
        <sz val="10"/>
        <color rgb="FFFFFF00"/>
        <rFont val="Arial"/>
        <family val="2"/>
      </rPr>
      <t xml:space="preserve"> </t>
    </r>
    <r>
      <rPr>
        <b/>
        <sz val="10"/>
        <color rgb="FFFFFF00"/>
        <rFont val="Malgun Gothic"/>
        <family val="3"/>
        <charset val="129"/>
      </rPr>
      <t>극성</t>
    </r>
    <r>
      <rPr>
        <b/>
        <sz val="10"/>
        <color rgb="FFFFFF00"/>
        <rFont val="Arial"/>
        <family val="2"/>
      </rPr>
      <t xml:space="preserve"> </t>
    </r>
    <r>
      <rPr>
        <b/>
        <sz val="10"/>
        <color rgb="FFFFFF00"/>
        <rFont val="Malgun Gothic"/>
        <family val="3"/>
        <charset val="129"/>
      </rPr>
      <t>지수</t>
    </r>
  </si>
  <si>
    <r>
      <rPr>
        <b/>
        <sz val="10"/>
        <color rgb="FFFFFF00"/>
        <rFont val="Malgun Gothic"/>
        <family val="3"/>
        <charset val="129"/>
      </rPr>
      <t>극성</t>
    </r>
    <r>
      <rPr>
        <b/>
        <sz val="10"/>
        <color rgb="FFFFFF00"/>
        <rFont val="Arial"/>
        <family val="2"/>
      </rPr>
      <t xml:space="preserve"> </t>
    </r>
    <r>
      <rPr>
        <b/>
        <sz val="10"/>
        <color rgb="FFFFFF00"/>
        <rFont val="Malgun Gothic"/>
        <family val="3"/>
        <charset val="129"/>
      </rPr>
      <t>분류</t>
    </r>
  </si>
  <si>
    <r>
      <rPr>
        <b/>
        <sz val="10"/>
        <color rgb="FFFFFF00"/>
        <rFont val="돋움"/>
        <family val="3"/>
        <charset val="129"/>
      </rPr>
      <t>표면장력</t>
    </r>
    <r>
      <rPr>
        <b/>
        <sz val="10"/>
        <color rgb="FFFFFF00"/>
        <rFont val="Arial"/>
        <family val="2"/>
      </rPr>
      <t xml:space="preserve"> (mN/m, 25</t>
    </r>
    <r>
      <rPr>
        <b/>
        <sz val="10"/>
        <color rgb="FFFFFF00"/>
        <rFont val="맑은 고딕"/>
        <family val="3"/>
        <charset val="129"/>
      </rPr>
      <t>℃</t>
    </r>
    <r>
      <rPr>
        <b/>
        <sz val="10"/>
        <color rgb="FFFFFF00"/>
        <rFont val="Arial"/>
        <family val="2"/>
      </rPr>
      <t>)</t>
    </r>
    <phoneticPr fontId="2" type="noConversion"/>
  </si>
  <si>
    <t>표면장력
상대세기</t>
    <phoneticPr fontId="2" type="noConversion"/>
  </si>
  <si>
    <t>비고</t>
    <phoneticPr fontId="2" type="noConversion"/>
  </si>
  <si>
    <t>SOLVENT</t>
    <phoneticPr fontId="2" type="noConversion"/>
  </si>
  <si>
    <t>1,2-DCB</t>
    <phoneticPr fontId="2" type="noConversion"/>
  </si>
  <si>
    <t>5 ~ 7</t>
  </si>
  <si>
    <r>
      <t xml:space="preserve"> </t>
    </r>
    <r>
      <rPr>
        <sz val="12"/>
        <color theme="1"/>
        <rFont val="맑은 고딕"/>
        <family val="3"/>
        <charset val="129"/>
      </rPr>
      <t>약극성</t>
    </r>
    <r>
      <rPr>
        <sz val="12"/>
        <color theme="1"/>
        <rFont val="Arial"/>
        <family val="2"/>
      </rPr>
      <t>~</t>
    </r>
    <r>
      <rPr>
        <sz val="12"/>
        <color theme="1"/>
        <rFont val="맑은 고딕"/>
        <family val="3"/>
        <charset val="129"/>
      </rPr>
      <t>중극성</t>
    </r>
    <phoneticPr fontId="2" type="noConversion"/>
  </si>
  <si>
    <t>중간</t>
  </si>
  <si>
    <t>Acetone</t>
    <phoneticPr fontId="2" type="noConversion"/>
  </si>
  <si>
    <t>10 ~ 12</t>
  </si>
  <si>
    <r>
      <rPr>
        <sz val="12"/>
        <color theme="1"/>
        <rFont val="맑은 고딕"/>
        <family val="3"/>
        <charset val="129"/>
      </rPr>
      <t>고극성</t>
    </r>
    <phoneticPr fontId="2" type="noConversion"/>
  </si>
  <si>
    <t>낮음</t>
  </si>
  <si>
    <t>Anisole</t>
    <phoneticPr fontId="2" type="noConversion"/>
  </si>
  <si>
    <r>
      <t xml:space="preserve"> </t>
    </r>
    <r>
      <rPr>
        <sz val="12"/>
        <color theme="1"/>
        <rFont val="맑은 고딕"/>
        <family val="3"/>
        <charset val="129"/>
      </rPr>
      <t>약극성</t>
    </r>
    <phoneticPr fontId="2" type="noConversion"/>
  </si>
  <si>
    <t>benzyl acetate</t>
    <phoneticPr fontId="2" type="noConversion"/>
  </si>
  <si>
    <t>6 ~ 8</t>
  </si>
  <si>
    <t>~6.0</t>
  </si>
  <si>
    <r>
      <t xml:space="preserve"> </t>
    </r>
    <r>
      <rPr>
        <sz val="12"/>
        <color theme="1"/>
        <rFont val="맑은 고딕"/>
        <family val="3"/>
        <charset val="129"/>
      </rPr>
      <t>약극성</t>
    </r>
    <phoneticPr fontId="2" type="noConversion"/>
  </si>
  <si>
    <t>Benzyl Alcohol</t>
    <phoneticPr fontId="2" type="noConversion"/>
  </si>
  <si>
    <t>9 ~ 11</t>
  </si>
  <si>
    <r>
      <rPr>
        <sz val="12"/>
        <color theme="1"/>
        <rFont val="맑은 고딕"/>
        <family val="3"/>
        <charset val="129"/>
      </rPr>
      <t>고극성</t>
    </r>
    <phoneticPr fontId="2" type="noConversion"/>
  </si>
  <si>
    <t>강함</t>
  </si>
  <si>
    <t>Chlorobenzene</t>
    <phoneticPr fontId="2" type="noConversion"/>
  </si>
  <si>
    <r>
      <t xml:space="preserve"> </t>
    </r>
    <r>
      <rPr>
        <sz val="12"/>
        <color theme="1"/>
        <rFont val="맑은 고딕"/>
        <family val="3"/>
        <charset val="129"/>
      </rPr>
      <t>약극성</t>
    </r>
    <phoneticPr fontId="2" type="noConversion"/>
  </si>
  <si>
    <t>Chloroform</t>
    <phoneticPr fontId="2" type="noConversion"/>
  </si>
  <si>
    <t>2 ~ 4</t>
  </si>
  <si>
    <r>
      <t xml:space="preserve"> </t>
    </r>
    <r>
      <rPr>
        <sz val="12"/>
        <color theme="1"/>
        <rFont val="맑은 고딕"/>
        <family val="3"/>
        <charset val="129"/>
      </rPr>
      <t>중간극성</t>
    </r>
    <phoneticPr fontId="2" type="noConversion"/>
  </si>
  <si>
    <t>cyclohexane</t>
    <phoneticPr fontId="2" type="noConversion"/>
  </si>
  <si>
    <t>1 ~ 3</t>
  </si>
  <si>
    <r>
      <rPr>
        <sz val="12"/>
        <color theme="1"/>
        <rFont val="맑은 고딕"/>
        <family val="3"/>
        <charset val="129"/>
      </rPr>
      <t>비극성</t>
    </r>
    <phoneticPr fontId="2" type="noConversion"/>
  </si>
  <si>
    <t>DCM</t>
    <phoneticPr fontId="2" type="noConversion"/>
  </si>
  <si>
    <t>DMF</t>
    <phoneticPr fontId="2" type="noConversion"/>
  </si>
  <si>
    <t>12 ~ 14</t>
  </si>
  <si>
    <r>
      <t xml:space="preserve"> </t>
    </r>
    <r>
      <rPr>
        <sz val="12"/>
        <color theme="1"/>
        <rFont val="맑은 고딕"/>
        <family val="3"/>
        <charset val="129"/>
      </rPr>
      <t>고극성</t>
    </r>
    <phoneticPr fontId="2" type="noConversion"/>
  </si>
  <si>
    <t>DMSO</t>
    <phoneticPr fontId="2" type="noConversion"/>
  </si>
  <si>
    <t>14 ~ 16</t>
  </si>
  <si>
    <r>
      <t xml:space="preserve"> </t>
    </r>
    <r>
      <rPr>
        <sz val="12"/>
        <color theme="1"/>
        <rFont val="맑은 고딕"/>
        <family val="3"/>
        <charset val="129"/>
      </rPr>
      <t>초극성</t>
    </r>
  </si>
  <si>
    <t>Ethyl Acetate</t>
    <phoneticPr fontId="2" type="noConversion"/>
  </si>
  <si>
    <t>7 ~ 9</t>
  </si>
  <si>
    <r>
      <rPr>
        <sz val="12"/>
        <color theme="1"/>
        <rFont val="맑은 고딕"/>
        <family val="3"/>
        <charset val="129"/>
      </rPr>
      <t>고극성</t>
    </r>
    <phoneticPr fontId="2" type="noConversion"/>
  </si>
  <si>
    <t>ethyl alcohol</t>
    <phoneticPr fontId="2" type="noConversion"/>
  </si>
  <si>
    <t>Formamide</t>
  </si>
  <si>
    <t>18 ~ 20</t>
  </si>
  <si>
    <r>
      <t xml:space="preserve"> </t>
    </r>
    <r>
      <rPr>
        <sz val="12"/>
        <color theme="1"/>
        <rFont val="맑은 고딕"/>
        <family val="3"/>
        <charset val="129"/>
      </rPr>
      <t>초극성</t>
    </r>
    <phoneticPr fontId="2" type="noConversion"/>
  </si>
  <si>
    <t>GBL</t>
    <phoneticPr fontId="2" type="noConversion"/>
  </si>
  <si>
    <t>IPA</t>
    <phoneticPr fontId="2" type="noConversion"/>
  </si>
  <si>
    <t>MEK</t>
    <phoneticPr fontId="2" type="noConversion"/>
  </si>
  <si>
    <t>8 ~ 10</t>
  </si>
  <si>
    <r>
      <t xml:space="preserve"> </t>
    </r>
    <r>
      <rPr>
        <sz val="12"/>
        <color theme="1"/>
        <rFont val="맑은 고딕"/>
        <family val="3"/>
        <charset val="129"/>
      </rPr>
      <t>중간극성</t>
    </r>
    <phoneticPr fontId="2" type="noConversion"/>
  </si>
  <si>
    <t>Methanol</t>
  </si>
  <si>
    <t>16 ~ 18</t>
  </si>
  <si>
    <r>
      <rPr>
        <sz val="12"/>
        <color theme="1"/>
        <rFont val="맑은 고딕"/>
        <family val="3"/>
        <charset val="129"/>
      </rPr>
      <t>고극성</t>
    </r>
    <phoneticPr fontId="2" type="noConversion"/>
  </si>
  <si>
    <t>NMP</t>
    <phoneticPr fontId="2" type="noConversion"/>
  </si>
  <si>
    <t>11 ~ 13</t>
  </si>
  <si>
    <t>THF</t>
    <phoneticPr fontId="2" type="noConversion"/>
  </si>
  <si>
    <t>Toluene</t>
    <phoneticPr fontId="2" type="noConversion"/>
  </si>
  <si>
    <t>3 ~ 5</t>
  </si>
  <si>
    <r>
      <t xml:space="preserve"> </t>
    </r>
    <r>
      <rPr>
        <sz val="12"/>
        <color theme="1"/>
        <rFont val="맑은 고딕"/>
        <family val="3"/>
        <charset val="129"/>
      </rPr>
      <t>비극성</t>
    </r>
    <phoneticPr fontId="2" type="noConversion"/>
  </si>
  <si>
    <t>water</t>
    <phoneticPr fontId="2" type="noConversion"/>
  </si>
  <si>
    <t>xylene</t>
    <phoneticPr fontId="2" type="noConversion"/>
  </si>
  <si>
    <r>
      <rPr>
        <sz val="12"/>
        <color theme="1"/>
        <rFont val="맑은 고딕"/>
        <family val="2"/>
        <charset val="129"/>
      </rPr>
      <t>분산제</t>
    </r>
    <phoneticPr fontId="2" type="noConversion"/>
  </si>
  <si>
    <t>Triton X-100</t>
    <phoneticPr fontId="2" type="noConversion"/>
  </si>
  <si>
    <t>13.5 - 14</t>
  </si>
  <si>
    <t>Pluronic F-127</t>
    <phoneticPr fontId="2" type="noConversion"/>
  </si>
  <si>
    <t>12 ~ 20</t>
    <phoneticPr fontId="2" type="noConversion"/>
  </si>
  <si>
    <t>18 - 23</t>
  </si>
  <si>
    <t>18 ~ 23</t>
    <phoneticPr fontId="2" type="noConversion"/>
  </si>
  <si>
    <t>Oleic Acid</t>
    <phoneticPr fontId="2" type="noConversion"/>
  </si>
  <si>
    <t>2.5 ~ 4.5</t>
    <phoneticPr fontId="2" type="noConversion"/>
  </si>
  <si>
    <t>1 ~ 4</t>
  </si>
  <si>
    <t>Oleylamine</t>
    <phoneticPr fontId="2" type="noConversion"/>
  </si>
  <si>
    <t>2.5  ~ 3.1</t>
    <phoneticPr fontId="2" type="noConversion"/>
  </si>
  <si>
    <t>~ 2-5</t>
    <phoneticPr fontId="2" type="noConversion"/>
  </si>
  <si>
    <t xml:space="preserve">표면장력 </t>
    <phoneticPr fontId="2" type="noConversion"/>
  </si>
  <si>
    <t>커피링 형성 경향 분류</t>
  </si>
  <si>
    <t>표면장력 세기</t>
  </si>
  <si>
    <t>경향성</t>
  </si>
  <si>
    <t>설명</t>
  </si>
  <si>
    <t>낮음 (&lt;30 mN/m)</t>
  </si>
  <si>
    <t>커피링 심함</t>
  </si>
  <si>
    <t>증발속도 빠르고 마진 쪽으로 흐름 유도됨 (ex: IPA, THF, Acetone, Toluene 등)</t>
  </si>
  <si>
    <t>중간 (30–39 mN/m)</t>
  </si>
  <si>
    <t>조건 따라 다름</t>
  </si>
  <si>
    <t>농도, 기판온도, 습도에 따라 균일 가능성 있음 (ex: Anisole, 1,2-DCB, Benzyl acetate)</t>
  </si>
  <si>
    <t>강함 (≥40 mN/m)</t>
    <phoneticPr fontId="2" type="noConversion"/>
  </si>
  <si>
    <t>커피링 억제 경향</t>
    <phoneticPr fontId="2" type="noConversion"/>
  </si>
  <si>
    <t>표면장력 균일화 유도, 중심 건조 유리 (ex: NMP, DMSO, GBL, Water 등)</t>
    <phoneticPr fontId="2" type="noConversion"/>
  </si>
  <si>
    <t xml:space="preserve">용매 25종의  진공도별 끓는점 </t>
    <phoneticPr fontId="2" type="noConversion"/>
  </si>
  <si>
    <t>용매 (Solvent)</t>
  </si>
  <si>
    <t>0 bar</t>
  </si>
  <si>
    <t>-0.1 bar</t>
  </si>
  <si>
    <t>-0.2 bar</t>
  </si>
  <si>
    <t>-0.3 bar</t>
  </si>
  <si>
    <t>-0.4 bar</t>
  </si>
  <si>
    <t>-0.5 bar</t>
  </si>
  <si>
    <t>-0.6 bar</t>
  </si>
  <si>
    <t>-0.7 bar</t>
  </si>
  <si>
    <t>-0.8 bar</t>
  </si>
  <si>
    <t>-0.9 bar</t>
  </si>
  <si>
    <t>극성</t>
    <phoneticPr fontId="2" type="noConversion"/>
  </si>
  <si>
    <t xml:space="preserve">DCM </t>
  </si>
  <si>
    <t>고극성</t>
  </si>
  <si>
    <t>Acetone</t>
  </si>
  <si>
    <t>Chloroform</t>
  </si>
  <si>
    <t xml:space="preserve"> 중간극성</t>
  </si>
  <si>
    <t>THF</t>
  </si>
  <si>
    <t>Hexane</t>
    <phoneticPr fontId="2" type="noConversion"/>
  </si>
  <si>
    <t>비극성</t>
    <phoneticPr fontId="2" type="noConversion"/>
  </si>
  <si>
    <t>Ethyl Acetate</t>
  </si>
  <si>
    <t>ethyl alcohol</t>
  </si>
  <si>
    <t>MEK</t>
  </si>
  <si>
    <t>cyclohexane</t>
  </si>
  <si>
    <t>중간극성</t>
  </si>
  <si>
    <t xml:space="preserve">IPA </t>
  </si>
  <si>
    <t xml:space="preserve"> 고극성</t>
  </si>
  <si>
    <t>water</t>
  </si>
  <si>
    <t xml:space="preserve"> 초극성</t>
  </si>
  <si>
    <t>Toluene</t>
  </si>
  <si>
    <t xml:space="preserve"> 비극성</t>
  </si>
  <si>
    <t>Chlorobenzene</t>
  </si>
  <si>
    <t xml:space="preserve"> 약극성</t>
  </si>
  <si>
    <t>xylene</t>
  </si>
  <si>
    <t xml:space="preserve">DMF </t>
  </si>
  <si>
    <t>Anisole</t>
  </si>
  <si>
    <t>cyclohexanone</t>
  </si>
  <si>
    <t xml:space="preserve">DMAc </t>
  </si>
  <si>
    <t>1,2-DCB</t>
  </si>
  <si>
    <t xml:space="preserve"> 약극성~중극성</t>
  </si>
  <si>
    <t>DMSO</t>
  </si>
  <si>
    <t>NMP</t>
  </si>
  <si>
    <t>GBL</t>
  </si>
  <si>
    <t>Benzyl Alcohol</t>
  </si>
  <si>
    <t>benzyl acetate</t>
  </si>
  <si>
    <t>표 해석 및 주의사항</t>
  </si>
  <si>
    <r>
      <t>1. 진공도의 효과:</t>
    </r>
    <r>
      <rPr>
        <sz val="11"/>
        <color theme="1"/>
        <rFont val="맑은 고딕"/>
        <family val="2"/>
        <charset val="129"/>
        <scheme val="minor"/>
      </rPr>
      <t xml:space="preserve"> 표에서 명확히 볼 수 있듯이, 진공도가 높을수록 (게이지 압력이 -0.9 bar에 가까울수록) 모든 용매의 끓는점이 크게 낮아집니다.</t>
    </r>
  </si>
  <si>
    <r>
      <t>2. 진공 건조 온도 설정:</t>
    </r>
    <r>
      <rPr>
        <sz val="11"/>
        <color rgb="FFFF0000"/>
        <rFont val="맑은 고딕"/>
        <family val="3"/>
        <charset val="129"/>
        <scheme val="minor"/>
      </rPr>
      <t xml:space="preserve"> 센서 필름 건조 시 기포 발생을 막으면서 효과적으로 용매를 제거하려면, 이 표의 </t>
    </r>
    <r>
      <rPr>
        <b/>
        <sz val="11"/>
        <color rgb="FFFF0000"/>
        <rFont val="맑은 고딕"/>
        <family val="3"/>
        <charset val="129"/>
        <scheme val="minor"/>
      </rPr>
      <t>계산된 끓는점보다 5~10°C 정도만 낮은 온도에서 대부분의 용매를 먼저 날려보낸 후</t>
    </r>
    <r>
      <rPr>
        <sz val="11"/>
        <color rgb="FFFF0000"/>
        <rFont val="맑은 고딕"/>
        <family val="3"/>
        <charset val="129"/>
        <scheme val="minor"/>
      </rPr>
      <t xml:space="preserve">, 최종적으로 </t>
    </r>
    <r>
      <rPr>
        <b/>
        <sz val="11"/>
        <color rgb="FFFF0000"/>
        <rFont val="맑은 고딕"/>
        <family val="3"/>
        <charset val="129"/>
        <scheme val="minor"/>
      </rPr>
      <t>계산된 끓는점보다 약간 높은 온도에서 어닐링</t>
    </r>
    <r>
      <rPr>
        <sz val="11"/>
        <color rgb="FFFF0000"/>
        <rFont val="맑은 고딕"/>
        <family val="3"/>
        <charset val="129"/>
        <scheme val="minor"/>
      </rPr>
      <t>하는 단계적 건조 방식이 가장 이상적입니다.</t>
    </r>
  </si>
  <si>
    <r>
      <t>3. 고비점 용매의 취급: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DMSO, NMP, Formamide, 1,2-DCB</t>
    </r>
    <r>
      <rPr>
        <sz val="11"/>
        <color theme="1"/>
        <rFont val="맑은 고딕"/>
        <family val="2"/>
        <charset val="129"/>
        <scheme val="minor"/>
      </rPr>
      <t xml:space="preserve"> 등은 진공을 강하게 걸어도 여전히 100°C 이상의 높은 끓는점을 가집니다. 이러한 용매들을 완벽히 제거하기 위해서는 고온 진공 열처리가 필수적입니다.</t>
    </r>
  </si>
  <si>
    <r>
      <t>4. 저비점 용매의 취급: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DCM, Chloroform, Acetone</t>
    </r>
    <r>
      <rPr>
        <sz val="11"/>
        <color theme="1"/>
        <rFont val="맑은 고딕"/>
        <family val="2"/>
        <charset val="129"/>
        <scheme val="minor"/>
      </rPr>
      <t xml:space="preserve"> 등은 -0.8 bar 정도의 약한 진공에서도 상온 또는 그 이하에서 끓습니다. 이러한 용매들은 진공을 걸면 급격하게 끓어오를(bumping) 위험이 매우 크므로, 진공을 아주 천천히 걸거나 냉각 트랩을 함께 사용해야 합니다.</t>
    </r>
  </si>
  <si>
    <r>
      <t>5. 이론과 실제의 차이:</t>
    </r>
    <r>
      <rPr>
        <sz val="11"/>
        <color theme="1"/>
        <rFont val="맑은 고딕"/>
        <family val="2"/>
        <charset val="129"/>
        <scheme val="minor"/>
      </rPr>
      <t xml:space="preserve"> 이 값들은 이론적인 계산값이며, 실제 실험에서는 사용하는 진공펌프의 성능, 진공 라인의 기밀성, 온도계의 정확도 등에 따라 약간의 오차가 발생할 수 있습니다. 하지만 공정 조건을 설정하는 데 매우 유용한 기준이 될 것입니다.</t>
    </r>
  </si>
  <si>
    <t>이 표가 실험 공정 최적화에 도움이 되기를 바랍니다.</t>
  </si>
  <si>
    <t>용매명</t>
  </si>
  <si>
    <t>친수성 등급</t>
  </si>
  <si>
    <t>물과의 혼화성</t>
  </si>
  <si>
    <t>극성도 (상대적)</t>
  </si>
  <si>
    <t>비고</t>
  </si>
  <si>
    <t>매우 친수성</t>
  </si>
  <si>
    <t>완전 혼화</t>
  </si>
  <si>
    <t>매우 높음</t>
  </si>
  <si>
    <t>극히 친수성, 수소결합 수용 &amp; 제공 가능</t>
  </si>
  <si>
    <t>극성 높고 물과 잘 섞임</t>
  </si>
  <si>
    <t>DMF</t>
  </si>
  <si>
    <t>친수성 강함</t>
  </si>
  <si>
    <t>친수성 알코올 계열</t>
  </si>
  <si>
    <t>Ethyl Alcohol</t>
  </si>
  <si>
    <t>에탄올, 친수성 강함</t>
  </si>
  <si>
    <t>IPA</t>
  </si>
  <si>
    <t>높음</t>
  </si>
  <si>
    <t>물과 잘 섞이며 수소결합도 가능</t>
  </si>
  <si>
    <t>케톤류, 물에 잘 섞임</t>
  </si>
  <si>
    <t>Acetone보다 끓는점 높음</t>
  </si>
  <si>
    <t>고극성 아마이드 계열</t>
  </si>
  <si>
    <t>수소결합 수용 가능, 물에 잘 섞임</t>
  </si>
  <si>
    <t>중간 친수성</t>
  </si>
  <si>
    <t>물과 혼화되지만 소수성기도 있음</t>
  </si>
  <si>
    <t>약간 혼화</t>
  </si>
  <si>
    <t>물과 제한적 혼화, 향이 강함</t>
  </si>
  <si>
    <t>제한적</t>
  </si>
  <si>
    <t>물과 부분 혼화, 밀도 높음</t>
  </si>
  <si>
    <t>DCM</t>
  </si>
  <si>
    <t>소수성보다 중간 정도</t>
  </si>
  <si>
    <t>미혼화</t>
  </si>
  <si>
    <t>약간 극성이나 전체적으로는 소수성</t>
  </si>
  <si>
    <t>극성 낮고 소수성 성향</t>
  </si>
  <si>
    <t>benzyl alcohol</t>
  </si>
  <si>
    <t>제한적 혼화</t>
  </si>
  <si>
    <t>중간~높음</t>
  </si>
  <si>
    <t>알코올이지만 분자량 크고 극성 낮음</t>
  </si>
  <si>
    <t>소수성</t>
  </si>
  <si>
    <t>거의 혼화 안 됨</t>
  </si>
  <si>
    <t>에스터류, 물과 잘 섞이지 않음</t>
  </si>
  <si>
    <t>매우 낮음</t>
  </si>
  <si>
    <t>방향족, 완전 소수성</t>
  </si>
  <si>
    <t>방향족 탄화수소, 매우 소수성</t>
  </si>
  <si>
    <t>완전 소수성, 극성 거의 없음</t>
  </si>
  <si>
    <t>방향족 할로겐화물, 물과 거의 섞이지 않음</t>
  </si>
  <si>
    <t>기준 (100%)</t>
  </si>
  <si>
    <t>-</t>
  </si>
  <si>
    <t>친수성 기준물질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</si>
</sst>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);[Red]\(0.0\)"/>
    <numFmt numFmtId="177" formatCode="0_);[Red]\(0\)"/>
    <numFmt numFmtId="178" formatCode="0.0_ "/>
  </numFmts>
  <fonts count="23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FF00"/>
      <name val="맑은 고딕"/>
      <family val="2"/>
      <charset val="129"/>
      <scheme val="minor"/>
    </font>
    <font>
      <b/>
      <sz val="9"/>
      <color rgb="FFFFFF00"/>
      <name val="Malgun Gothic"/>
      <family val="3"/>
      <charset val="129"/>
    </font>
    <font>
      <b/>
      <sz val="9"/>
      <color rgb="FFFFFF00"/>
      <name val="굴림"/>
      <family val="3"/>
      <charset val="129"/>
    </font>
    <font>
      <b/>
      <sz val="9"/>
      <color rgb="FFFFFF00"/>
      <name val="맑은 고딕"/>
      <family val="3"/>
      <charset val="129"/>
    </font>
    <font>
      <b/>
      <sz val="10"/>
      <color rgb="FFFFFF00"/>
      <name val="Arial"/>
      <family val="2"/>
    </font>
    <font>
      <b/>
      <sz val="10"/>
      <color rgb="FFFFFF00"/>
      <name val="Malgun Gothic"/>
      <family val="3"/>
      <charset val="129"/>
    </font>
    <font>
      <b/>
      <sz val="10"/>
      <color rgb="FFFFFF00"/>
      <name val="돋움"/>
      <family val="3"/>
      <charset val="129"/>
    </font>
    <font>
      <b/>
      <sz val="10"/>
      <color rgb="FFFFFF00"/>
      <name val="맑은 고딕"/>
      <family val="3"/>
      <charset val="129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  <charset val="129"/>
    </font>
    <font>
      <sz val="10"/>
      <name val="Arial"/>
      <family val="2"/>
    </font>
    <font>
      <b/>
      <sz val="14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justify" vertical="center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4" borderId="15" xfId="0" applyFont="1" applyFill="1" applyBorder="1" applyAlignment="1">
      <alignment vertical="center" wrapText="1"/>
    </xf>
    <xf numFmtId="176" fontId="15" fillId="4" borderId="15" xfId="0" applyNumberFormat="1" applyFont="1" applyFill="1" applyBorder="1" applyAlignment="1">
      <alignment horizontal="center" vertical="center" wrapText="1"/>
    </xf>
    <xf numFmtId="176" fontId="15" fillId="4" borderId="15" xfId="0" applyNumberFormat="1" applyFont="1" applyFill="1" applyBorder="1" applyAlignment="1">
      <alignment horizont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177" fontId="14" fillId="0" borderId="6" xfId="0" applyNumberFormat="1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0" fontId="15" fillId="4" borderId="5" xfId="0" applyFont="1" applyFill="1" applyBorder="1" applyAlignment="1">
      <alignment vertical="center" wrapText="1"/>
    </xf>
    <xf numFmtId="176" fontId="15" fillId="4" borderId="5" xfId="0" applyNumberFormat="1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6" xfId="0" applyFont="1" applyBorder="1">
      <alignment vertical="center"/>
    </xf>
    <xf numFmtId="176" fontId="15" fillId="4" borderId="5" xfId="0" applyNumberFormat="1" applyFont="1" applyFill="1" applyBorder="1" applyAlignment="1">
      <alignment horizontal="center" wrapText="1"/>
    </xf>
    <xf numFmtId="0" fontId="14" fillId="4" borderId="5" xfId="0" applyFont="1" applyFill="1" applyBorder="1">
      <alignment vertical="center"/>
    </xf>
    <xf numFmtId="0" fontId="14" fillId="4" borderId="5" xfId="0" applyFont="1" applyFill="1" applyBorder="1" applyAlignment="1">
      <alignment horizontal="center" vertical="center"/>
    </xf>
    <xf numFmtId="176" fontId="15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horizontal="center" vertical="center"/>
    </xf>
    <xf numFmtId="0" fontId="15" fillId="4" borderId="8" xfId="0" applyFont="1" applyFill="1" applyBorder="1" applyAlignment="1">
      <alignment vertical="center" wrapText="1"/>
    </xf>
    <xf numFmtId="176" fontId="15" fillId="4" borderId="8" xfId="0" applyNumberFormat="1" applyFont="1" applyFill="1" applyBorder="1" applyAlignment="1">
      <alignment horizontal="center" vertical="center" wrapText="1"/>
    </xf>
    <xf numFmtId="176" fontId="15" fillId="4" borderId="8" xfId="0" applyNumberFormat="1" applyFont="1" applyFill="1" applyBorder="1" applyAlignment="1">
      <alignment horizont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9" xfId="0" applyFont="1" applyBorder="1">
      <alignment vertical="center"/>
    </xf>
    <xf numFmtId="0" fontId="15" fillId="4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horizontal="center" vertical="center"/>
    </xf>
    <xf numFmtId="176" fontId="15" fillId="4" borderId="15" xfId="0" applyNumberFormat="1" applyFont="1" applyFill="1" applyBorder="1" applyAlignment="1">
      <alignment horizontal="center" vertical="center"/>
    </xf>
    <xf numFmtId="0" fontId="14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19" xfId="0" applyFont="1" applyBorder="1">
      <alignment vertical="center"/>
    </xf>
    <xf numFmtId="0" fontId="14" fillId="0" borderId="5" xfId="0" applyFont="1" applyBorder="1">
      <alignment vertical="center"/>
    </xf>
    <xf numFmtId="0" fontId="14" fillId="0" borderId="5" xfId="0" applyFont="1" applyBorder="1" applyAlignment="1">
      <alignment horizontal="center" vertical="center"/>
    </xf>
    <xf numFmtId="0" fontId="14" fillId="0" borderId="17" xfId="0" applyFont="1" applyBorder="1">
      <alignment vertical="center"/>
    </xf>
    <xf numFmtId="0" fontId="14" fillId="0" borderId="5" xfId="0" applyFont="1" applyBorder="1" applyAlignment="1">
      <alignment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/>
    </xf>
    <xf numFmtId="176" fontId="15" fillId="4" borderId="8" xfId="0" applyNumberFormat="1" applyFont="1" applyFill="1" applyBorder="1" applyAlignment="1">
      <alignment horizontal="center" vertical="center"/>
    </xf>
    <xf numFmtId="0" fontId="14" fillId="0" borderId="8" xfId="0" applyFont="1" applyBorder="1">
      <alignment vertical="center"/>
    </xf>
    <xf numFmtId="0" fontId="14" fillId="0" borderId="18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176" fontId="18" fillId="4" borderId="0" xfId="0" applyNumberFormat="1" applyFont="1" applyFill="1" applyBorder="1" applyAlignment="1">
      <alignment horizontal="center" vertical="center"/>
    </xf>
    <xf numFmtId="176" fontId="18" fillId="4" borderId="0" xfId="0" applyNumberFormat="1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178" fontId="4" fillId="0" borderId="5" xfId="0" applyNumberFormat="1" applyFont="1" applyBorder="1" applyAlignment="1">
      <alignment vertical="center" wrapText="1"/>
    </xf>
    <xf numFmtId="178" fontId="4" fillId="0" borderId="5" xfId="0" applyNumberFormat="1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427975</xdr:colOff>
      <xdr:row>26</xdr:row>
      <xdr:rowOff>133350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43375" cy="558165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28</xdr:row>
      <xdr:rowOff>85724</xdr:rowOff>
    </xdr:from>
    <xdr:to>
      <xdr:col>13</xdr:col>
      <xdr:colOff>460375</xdr:colOff>
      <xdr:row>54</xdr:row>
      <xdr:rowOff>57149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953124"/>
          <a:ext cx="9194800" cy="5419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123825</xdr:rowOff>
    </xdr:from>
    <xdr:to>
      <xdr:col>13</xdr:col>
      <xdr:colOff>381000</xdr:colOff>
      <xdr:row>84</xdr:row>
      <xdr:rowOff>91058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58625"/>
          <a:ext cx="9296400" cy="58346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52" zoomScaleNormal="100" workbookViewId="0">
      <selection activeCell="O67" sqref="O67"/>
    </sheetView>
  </sheetViews>
  <sheetFormatPr defaultRowHeight="16.5"/>
  <sheetData/>
  <phoneticPr fontId="2" type="noConversion"/>
  <pageMargins left="0.7" right="0.7" top="0.75" bottom="0.75" header="0.3" footer="0.3"/>
  <pageSetup paperSize="9" scale="95" orientation="landscape" r:id="rId1"/>
  <rowBreaks count="2" manualBreakCount="2">
    <brk id="28" max="16383" man="1"/>
    <brk id="5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3"/>
  <sheetViews>
    <sheetView topLeftCell="A10" workbookViewId="0">
      <selection activeCell="E25" sqref="E25"/>
    </sheetView>
  </sheetViews>
  <sheetFormatPr defaultRowHeight="16.5"/>
  <cols>
    <col min="2" max="2" width="26.75" customWidth="1"/>
    <col min="3" max="3" width="12.75" customWidth="1"/>
    <col min="4" max="4" width="29.125" customWidth="1"/>
    <col min="5" max="5" width="43.125" customWidth="1"/>
    <col min="6" max="6" width="49.125" style="2" customWidth="1"/>
  </cols>
  <sheetData>
    <row r="3" spans="2:6" ht="27.95" customHeight="1" thickBot="1">
      <c r="B3" s="1" t="s">
        <v>0</v>
      </c>
    </row>
    <row r="4" spans="2:6" ht="35.1" customHeight="1">
      <c r="B4" s="3" t="s">
        <v>1</v>
      </c>
      <c r="C4" s="4" t="s">
        <v>2</v>
      </c>
      <c r="D4" s="4" t="s">
        <v>3</v>
      </c>
      <c r="E4" s="4" t="s">
        <v>4</v>
      </c>
      <c r="F4" s="5" t="s">
        <v>5</v>
      </c>
    </row>
    <row r="5" spans="2:6" ht="35.1" customHeight="1">
      <c r="B5" s="6" t="s">
        <v>6</v>
      </c>
      <c r="C5" s="7" t="s">
        <v>7</v>
      </c>
      <c r="D5" s="7" t="s">
        <v>8</v>
      </c>
      <c r="E5" s="7" t="s">
        <v>9</v>
      </c>
      <c r="F5" s="8" t="s">
        <v>10</v>
      </c>
    </row>
    <row r="6" spans="2:6" ht="35.1" customHeight="1">
      <c r="B6" s="9" t="s">
        <v>11</v>
      </c>
      <c r="C6" s="7" t="s">
        <v>12</v>
      </c>
      <c r="D6" s="7" t="s">
        <v>13</v>
      </c>
      <c r="E6" s="7" t="s">
        <v>14</v>
      </c>
      <c r="F6" s="8" t="s">
        <v>15</v>
      </c>
    </row>
    <row r="7" spans="2:6" ht="35.1" customHeight="1">
      <c r="B7" s="9" t="s">
        <v>16</v>
      </c>
      <c r="C7" s="7" t="s">
        <v>12</v>
      </c>
      <c r="D7" s="7" t="s">
        <v>17</v>
      </c>
      <c r="E7" s="7" t="s">
        <v>18</v>
      </c>
      <c r="F7" s="8" t="s">
        <v>19</v>
      </c>
    </row>
    <row r="8" spans="2:6" ht="35.1" customHeight="1">
      <c r="B8" s="9" t="s">
        <v>20</v>
      </c>
      <c r="C8" s="7" t="s">
        <v>12</v>
      </c>
      <c r="D8" s="7" t="s">
        <v>17</v>
      </c>
      <c r="E8" s="7" t="s">
        <v>21</v>
      </c>
      <c r="F8" s="8" t="s">
        <v>22</v>
      </c>
    </row>
    <row r="9" spans="2:6" ht="35.1" customHeight="1">
      <c r="B9" s="6" t="s">
        <v>23</v>
      </c>
      <c r="C9" s="7" t="s">
        <v>12</v>
      </c>
      <c r="D9" s="7" t="s">
        <v>24</v>
      </c>
      <c r="E9" s="7" t="s">
        <v>25</v>
      </c>
      <c r="F9" s="8" t="s">
        <v>26</v>
      </c>
    </row>
    <row r="10" spans="2:6" ht="35.1" customHeight="1">
      <c r="B10" s="9" t="s">
        <v>27</v>
      </c>
      <c r="C10" s="7" t="s">
        <v>28</v>
      </c>
      <c r="D10" s="7" t="s">
        <v>29</v>
      </c>
      <c r="E10" s="7" t="s">
        <v>30</v>
      </c>
      <c r="F10" s="8" t="s">
        <v>31</v>
      </c>
    </row>
    <row r="11" spans="2:6" ht="35.1" customHeight="1">
      <c r="B11" s="9" t="s">
        <v>32</v>
      </c>
      <c r="C11" s="7" t="s">
        <v>33</v>
      </c>
      <c r="D11" s="7" t="s">
        <v>34</v>
      </c>
      <c r="E11" s="7" t="s">
        <v>35</v>
      </c>
      <c r="F11" s="8" t="s">
        <v>36</v>
      </c>
    </row>
    <row r="12" spans="2:6" ht="35.1" customHeight="1">
      <c r="B12" s="9" t="s">
        <v>37</v>
      </c>
      <c r="C12" s="7" t="s">
        <v>12</v>
      </c>
      <c r="D12" s="7" t="s">
        <v>13</v>
      </c>
      <c r="E12" s="7" t="s">
        <v>38</v>
      </c>
      <c r="F12" s="8" t="s">
        <v>39</v>
      </c>
    </row>
    <row r="13" spans="2:6" ht="35.1" customHeight="1">
      <c r="B13" s="9" t="s">
        <v>40</v>
      </c>
      <c r="C13" s="7" t="s">
        <v>12</v>
      </c>
      <c r="D13" s="7" t="s">
        <v>41</v>
      </c>
      <c r="E13" s="7" t="s">
        <v>42</v>
      </c>
      <c r="F13" s="8" t="s">
        <v>43</v>
      </c>
    </row>
    <row r="14" spans="2:6" ht="35.1" customHeight="1">
      <c r="B14" s="10" t="s">
        <v>44</v>
      </c>
      <c r="C14" s="7" t="s">
        <v>45</v>
      </c>
      <c r="D14" s="7" t="s">
        <v>46</v>
      </c>
      <c r="E14" s="7" t="s">
        <v>47</v>
      </c>
      <c r="F14" s="8" t="s">
        <v>48</v>
      </c>
    </row>
    <row r="15" spans="2:6" ht="35.1" customHeight="1">
      <c r="B15" s="11" t="s">
        <v>49</v>
      </c>
      <c r="C15" s="7" t="s">
        <v>45</v>
      </c>
      <c r="D15" s="7" t="s">
        <v>50</v>
      </c>
      <c r="E15" s="7" t="s">
        <v>51</v>
      </c>
      <c r="F15" s="8" t="s">
        <v>52</v>
      </c>
    </row>
    <row r="16" spans="2:6" ht="35.1" customHeight="1">
      <c r="B16" s="6" t="s">
        <v>53</v>
      </c>
      <c r="C16" s="7" t="s">
        <v>54</v>
      </c>
      <c r="D16" s="7" t="s">
        <v>29</v>
      </c>
      <c r="E16" s="7" t="s">
        <v>55</v>
      </c>
      <c r="F16" s="8" t="s">
        <v>56</v>
      </c>
    </row>
    <row r="17" spans="2:6" ht="35.1" customHeight="1">
      <c r="B17" s="9" t="s">
        <v>57</v>
      </c>
      <c r="C17" s="7" t="s">
        <v>54</v>
      </c>
      <c r="D17" s="7" t="s">
        <v>58</v>
      </c>
      <c r="E17" s="7" t="s">
        <v>59</v>
      </c>
      <c r="F17" s="8" t="s">
        <v>60</v>
      </c>
    </row>
    <row r="18" spans="2:6" ht="35.1" customHeight="1">
      <c r="B18" s="9" t="s">
        <v>61</v>
      </c>
      <c r="C18" s="7" t="s">
        <v>54</v>
      </c>
      <c r="D18" s="7" t="s">
        <v>46</v>
      </c>
      <c r="E18" s="7" t="s">
        <v>62</v>
      </c>
      <c r="F18" s="8" t="s">
        <v>63</v>
      </c>
    </row>
    <row r="19" spans="2:6" ht="35.1" customHeight="1">
      <c r="B19" s="10" t="s">
        <v>64</v>
      </c>
      <c r="C19" s="7" t="s">
        <v>7</v>
      </c>
      <c r="D19" s="7" t="s">
        <v>8</v>
      </c>
      <c r="E19" s="7" t="s">
        <v>65</v>
      </c>
      <c r="F19" s="8" t="s">
        <v>66</v>
      </c>
    </row>
    <row r="20" spans="2:6" ht="35.1" customHeight="1">
      <c r="B20" s="9" t="s">
        <v>67</v>
      </c>
      <c r="C20" s="7" t="s">
        <v>12</v>
      </c>
      <c r="D20" s="7" t="s">
        <v>68</v>
      </c>
      <c r="E20" s="7" t="s">
        <v>69</v>
      </c>
      <c r="F20" s="8" t="s">
        <v>70</v>
      </c>
    </row>
    <row r="21" spans="2:6" ht="35.1" customHeight="1">
      <c r="B21" s="10" t="s">
        <v>71</v>
      </c>
      <c r="C21" s="7" t="s">
        <v>45</v>
      </c>
      <c r="D21" s="7" t="s">
        <v>72</v>
      </c>
      <c r="E21" s="7" t="s">
        <v>73</v>
      </c>
      <c r="F21" s="8" t="s">
        <v>74</v>
      </c>
    </row>
    <row r="22" spans="2:6" ht="35.1" customHeight="1" thickBot="1">
      <c r="B22" s="12" t="s">
        <v>75</v>
      </c>
      <c r="C22" s="13" t="s">
        <v>45</v>
      </c>
      <c r="D22" s="13" t="s">
        <v>72</v>
      </c>
      <c r="E22" s="13" t="s">
        <v>76</v>
      </c>
      <c r="F22" s="14" t="s">
        <v>77</v>
      </c>
    </row>
    <row r="23" spans="2:6" ht="46.5" customHeight="1" thickBot="1">
      <c r="B23" s="15" t="s">
        <v>78</v>
      </c>
    </row>
    <row r="24" spans="2:6" ht="27.95" customHeight="1"/>
    <row r="25" spans="2:6" ht="27.95" customHeight="1"/>
    <row r="26" spans="2:6" ht="27.95" customHeight="1"/>
    <row r="27" spans="2:6" ht="27.95" customHeight="1"/>
    <row r="28" spans="2:6" ht="27.95" customHeight="1"/>
    <row r="29" spans="2:6" ht="27.95" customHeight="1"/>
    <row r="30" spans="2:6" ht="27.95" customHeight="1"/>
    <row r="31" spans="2:6" ht="27.95" customHeight="1"/>
    <row r="32" spans="2:6" ht="27.95" customHeight="1"/>
    <row r="33" ht="27.95" customHeight="1"/>
    <row r="34" ht="27.95" customHeight="1"/>
    <row r="35" ht="27.95" customHeight="1"/>
    <row r="36" ht="27.95" customHeight="1"/>
    <row r="37" ht="27.95" customHeight="1"/>
    <row r="38" ht="27.95" customHeight="1"/>
    <row r="39" ht="27.95" customHeight="1"/>
    <row r="40" ht="27.95" customHeight="1"/>
    <row r="41" ht="27.95" customHeight="1"/>
    <row r="42" ht="27.95" customHeight="1"/>
    <row r="43" ht="27.95" customHeight="1"/>
    <row r="44" ht="27.95" customHeight="1"/>
    <row r="45" ht="27.95" customHeight="1"/>
    <row r="46" ht="27.95" customHeight="1"/>
    <row r="47" ht="27.95" customHeight="1"/>
    <row r="48" ht="27.95" customHeight="1"/>
    <row r="49" ht="27.95" customHeight="1"/>
    <row r="50" ht="27.95" customHeight="1"/>
    <row r="51" ht="27.95" customHeight="1"/>
    <row r="52" ht="27.95" customHeight="1"/>
    <row r="53" ht="27.95" customHeight="1"/>
    <row r="54" ht="27.95" customHeight="1"/>
    <row r="55" ht="27.95" customHeight="1"/>
    <row r="56" ht="27.95" customHeight="1"/>
    <row r="57" ht="27.95" customHeight="1"/>
    <row r="58" ht="27.95" customHeight="1"/>
    <row r="59" ht="27.95" customHeight="1"/>
    <row r="60" ht="27.95" customHeight="1"/>
    <row r="61" ht="27.95" customHeight="1"/>
    <row r="62" ht="27.95" customHeight="1"/>
    <row r="63" ht="27.95" customHeight="1"/>
    <row r="64" ht="27.95" customHeight="1"/>
    <row r="65" ht="27.95" customHeight="1"/>
    <row r="66" ht="27.95" customHeight="1"/>
    <row r="67" ht="27.95" customHeight="1"/>
    <row r="68" ht="27.95" customHeight="1"/>
    <row r="69" ht="27.95" customHeight="1"/>
    <row r="70" ht="27.95" customHeight="1"/>
    <row r="71" ht="27.95" customHeight="1"/>
    <row r="72" ht="27.95" customHeight="1"/>
    <row r="73" ht="27.95" customHeight="1"/>
    <row r="74" ht="27.95" customHeight="1"/>
    <row r="75" ht="27.95" customHeight="1"/>
    <row r="76" ht="27.95" customHeight="1"/>
    <row r="77" ht="27.95" customHeight="1"/>
    <row r="78" ht="27.95" customHeight="1"/>
    <row r="79" ht="27.95" customHeight="1"/>
    <row r="80" ht="27.95" customHeight="1"/>
    <row r="81" ht="27.95" customHeight="1"/>
    <row r="82" ht="27.95" customHeight="1"/>
    <row r="83" ht="27.95" customHeight="1"/>
    <row r="84" ht="27.95" customHeight="1"/>
    <row r="85" ht="27.95" customHeight="1"/>
    <row r="86" ht="27.95" customHeight="1"/>
    <row r="87" ht="27.95" customHeight="1"/>
    <row r="88" ht="27.95" customHeight="1"/>
    <row r="89" ht="27.95" customHeight="1"/>
    <row r="90" ht="27.95" customHeight="1"/>
    <row r="91" ht="27.95" customHeight="1"/>
    <row r="92" ht="27.95" customHeight="1"/>
    <row r="93" ht="27.95" customHeight="1"/>
    <row r="94" ht="27.95" customHeight="1"/>
    <row r="95" ht="27.95" customHeight="1"/>
    <row r="96" ht="27.95" customHeight="1"/>
    <row r="97" ht="27.95" customHeight="1"/>
    <row r="98" ht="27.95" customHeight="1"/>
    <row r="99" ht="27.95" customHeight="1"/>
    <row r="100" ht="27.95" customHeight="1"/>
    <row r="101" ht="27.95" customHeight="1"/>
    <row r="102" ht="27.95" customHeight="1"/>
    <row r="103" ht="27.95" customHeight="1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88"/>
  <sheetViews>
    <sheetView tabSelected="1" workbookViewId="0">
      <selection activeCell="K42" sqref="K42"/>
    </sheetView>
  </sheetViews>
  <sheetFormatPr defaultRowHeight="16.5"/>
  <cols>
    <col min="2" max="2" width="18.375" customWidth="1"/>
    <col min="3" max="12" width="13.375" customWidth="1"/>
    <col min="13" max="13" width="14.625" customWidth="1"/>
    <col min="14" max="14" width="12.25" customWidth="1"/>
    <col min="15" max="16" width="10.875" customWidth="1"/>
    <col min="17" max="17" width="10.75" customWidth="1"/>
    <col min="18" max="18" width="10.125" customWidth="1"/>
  </cols>
  <sheetData>
    <row r="2" spans="1:17" ht="24.95" customHeight="1"/>
    <row r="3" spans="1:17" ht="35.25" customHeight="1" thickBot="1">
      <c r="A3" s="1" t="s">
        <v>79</v>
      </c>
      <c r="B3" s="1"/>
    </row>
    <row r="4" spans="1:17" ht="51" customHeight="1" thickBot="1">
      <c r="A4" s="16" t="s">
        <v>80</v>
      </c>
      <c r="B4" s="17" t="s">
        <v>81</v>
      </c>
      <c r="C4" s="18" t="s">
        <v>82</v>
      </c>
      <c r="D4" s="18" t="s">
        <v>83</v>
      </c>
      <c r="E4" s="18" t="s">
        <v>84</v>
      </c>
      <c r="F4" s="18" t="s">
        <v>85</v>
      </c>
      <c r="G4" s="19" t="s">
        <v>86</v>
      </c>
      <c r="H4" s="19" t="s">
        <v>87</v>
      </c>
      <c r="I4" s="19" t="s">
        <v>88</v>
      </c>
      <c r="J4" s="18" t="s">
        <v>89</v>
      </c>
      <c r="K4" s="18" t="s">
        <v>90</v>
      </c>
      <c r="L4" s="20" t="s">
        <v>91</v>
      </c>
      <c r="M4" s="20" t="s">
        <v>92</v>
      </c>
      <c r="N4" s="20" t="s">
        <v>93</v>
      </c>
      <c r="O4" s="21" t="s">
        <v>94</v>
      </c>
      <c r="P4" s="22" t="s">
        <v>95</v>
      </c>
      <c r="Q4" s="23" t="s">
        <v>96</v>
      </c>
    </row>
    <row r="5" spans="1:17" ht="24.95" customHeight="1">
      <c r="A5" s="24" t="s">
        <v>97</v>
      </c>
      <c r="B5" s="25" t="s">
        <v>98</v>
      </c>
      <c r="C5" s="26">
        <v>19.600000000000001</v>
      </c>
      <c r="D5" s="26">
        <v>6</v>
      </c>
      <c r="E5" s="26">
        <v>3.5</v>
      </c>
      <c r="F5" s="27">
        <f t="shared" ref="F5:F31" si="0">SQRT(C5*C5+D5*D5+E5*E5)</f>
        <v>20.794470418839719</v>
      </c>
      <c r="G5" s="26">
        <v>9.9</v>
      </c>
      <c r="H5" s="26">
        <v>19.600000000000001</v>
      </c>
      <c r="I5" s="28" t="s">
        <v>99</v>
      </c>
      <c r="J5" s="26">
        <v>180</v>
      </c>
      <c r="K5" s="26">
        <v>0.19</v>
      </c>
      <c r="L5" s="29">
        <v>1.32</v>
      </c>
      <c r="M5" s="29">
        <v>10.1</v>
      </c>
      <c r="N5" s="29" t="s">
        <v>100</v>
      </c>
      <c r="O5" s="30">
        <v>37</v>
      </c>
      <c r="P5" s="30" t="s">
        <v>101</v>
      </c>
      <c r="Q5" s="31"/>
    </row>
    <row r="6" spans="1:17" ht="24.95" customHeight="1">
      <c r="A6" s="32"/>
      <c r="B6" s="33" t="s">
        <v>102</v>
      </c>
      <c r="C6" s="34">
        <v>15.5</v>
      </c>
      <c r="D6" s="34">
        <v>10.4</v>
      </c>
      <c r="E6" s="34">
        <v>7</v>
      </c>
      <c r="F6" s="34">
        <f t="shared" si="0"/>
        <v>19.935144845222471</v>
      </c>
      <c r="G6" s="34">
        <v>20.7</v>
      </c>
      <c r="H6" s="34">
        <v>19.7</v>
      </c>
      <c r="I6" s="35" t="s">
        <v>103</v>
      </c>
      <c r="J6" s="34">
        <v>56</v>
      </c>
      <c r="K6" s="34">
        <v>231</v>
      </c>
      <c r="L6" s="36">
        <v>0.31</v>
      </c>
      <c r="M6" s="36">
        <v>20.7</v>
      </c>
      <c r="N6" s="36" t="s">
        <v>104</v>
      </c>
      <c r="O6" s="37">
        <v>23.7</v>
      </c>
      <c r="P6" s="37" t="s">
        <v>105</v>
      </c>
      <c r="Q6" s="38"/>
    </row>
    <row r="7" spans="1:17" ht="24.95" customHeight="1">
      <c r="A7" s="32"/>
      <c r="B7" s="33" t="s">
        <v>106</v>
      </c>
      <c r="C7" s="34">
        <v>17.8</v>
      </c>
      <c r="D7" s="34">
        <v>5.7</v>
      </c>
      <c r="E7" s="34">
        <v>5.9</v>
      </c>
      <c r="F7" s="39">
        <f t="shared" si="0"/>
        <v>19.59948978927768</v>
      </c>
      <c r="G7" s="34">
        <v>4.3</v>
      </c>
      <c r="H7" s="34">
        <v>19.100000000000001</v>
      </c>
      <c r="I7" s="35" t="s">
        <v>99</v>
      </c>
      <c r="J7" s="34">
        <v>154</v>
      </c>
      <c r="K7" s="34">
        <v>0.4</v>
      </c>
      <c r="L7" s="36">
        <v>1.07</v>
      </c>
      <c r="M7" s="36">
        <v>4.3</v>
      </c>
      <c r="N7" s="36" t="s">
        <v>107</v>
      </c>
      <c r="O7" s="37">
        <v>34.299999999999997</v>
      </c>
      <c r="P7" s="37" t="s">
        <v>101</v>
      </c>
      <c r="Q7" s="38"/>
    </row>
    <row r="8" spans="1:17" ht="24.95" customHeight="1">
      <c r="A8" s="32"/>
      <c r="B8" s="40" t="s">
        <v>108</v>
      </c>
      <c r="C8" s="41">
        <v>18.399999999999999</v>
      </c>
      <c r="D8" s="41">
        <v>5.3</v>
      </c>
      <c r="E8" s="41">
        <v>6.6</v>
      </c>
      <c r="F8" s="42">
        <f t="shared" si="0"/>
        <v>20.253641647861748</v>
      </c>
      <c r="G8" s="34">
        <v>5</v>
      </c>
      <c r="H8" s="34">
        <v>19.399999999999999</v>
      </c>
      <c r="I8" s="35" t="s">
        <v>109</v>
      </c>
      <c r="J8" s="34">
        <v>206</v>
      </c>
      <c r="K8" s="34">
        <v>0.3</v>
      </c>
      <c r="L8" s="36">
        <v>1.8</v>
      </c>
      <c r="M8" s="36" t="s">
        <v>110</v>
      </c>
      <c r="N8" s="36" t="s">
        <v>111</v>
      </c>
      <c r="O8" s="37">
        <v>36</v>
      </c>
      <c r="P8" s="37" t="s">
        <v>101</v>
      </c>
      <c r="Q8" s="38"/>
    </row>
    <row r="9" spans="1:17" ht="24.95" customHeight="1">
      <c r="A9" s="32"/>
      <c r="B9" s="33" t="s">
        <v>112</v>
      </c>
      <c r="C9" s="34">
        <v>18.399999999999999</v>
      </c>
      <c r="D9" s="34">
        <v>6.3</v>
      </c>
      <c r="E9" s="34">
        <v>13.7</v>
      </c>
      <c r="F9" s="39">
        <f t="shared" si="0"/>
        <v>23.789493479265168</v>
      </c>
      <c r="G9" s="34">
        <v>13.1</v>
      </c>
      <c r="H9" s="34">
        <v>22.3</v>
      </c>
      <c r="I9" s="35" t="s">
        <v>113</v>
      </c>
      <c r="J9" s="34">
        <v>205</v>
      </c>
      <c r="K9" s="34">
        <v>0.05</v>
      </c>
      <c r="L9" s="36">
        <v>5.47</v>
      </c>
      <c r="M9" s="36">
        <v>13.1</v>
      </c>
      <c r="N9" s="36" t="s">
        <v>114</v>
      </c>
      <c r="O9" s="37">
        <v>39</v>
      </c>
      <c r="P9" s="37" t="s">
        <v>115</v>
      </c>
      <c r="Q9" s="38"/>
    </row>
    <row r="10" spans="1:17" ht="24.95" customHeight="1">
      <c r="A10" s="32"/>
      <c r="B10" s="33" t="s">
        <v>116</v>
      </c>
      <c r="C10" s="34">
        <v>19</v>
      </c>
      <c r="D10" s="34">
        <v>4.3</v>
      </c>
      <c r="E10" s="34">
        <v>2</v>
      </c>
      <c r="F10" s="39">
        <f t="shared" si="0"/>
        <v>19.582900704441109</v>
      </c>
      <c r="G10" s="34">
        <v>5.6</v>
      </c>
      <c r="H10" s="34">
        <v>19.2</v>
      </c>
      <c r="I10" s="35" t="s">
        <v>99</v>
      </c>
      <c r="J10" s="34">
        <v>132</v>
      </c>
      <c r="K10" s="34">
        <v>11.8</v>
      </c>
      <c r="L10" s="36">
        <v>0.8</v>
      </c>
      <c r="M10" s="36">
        <v>5.6</v>
      </c>
      <c r="N10" s="36" t="s">
        <v>117</v>
      </c>
      <c r="O10" s="37">
        <v>33.6</v>
      </c>
      <c r="P10" s="37" t="s">
        <v>101</v>
      </c>
      <c r="Q10" s="38"/>
    </row>
    <row r="11" spans="1:17" ht="24.95" customHeight="1">
      <c r="A11" s="32"/>
      <c r="B11" s="33" t="s">
        <v>118</v>
      </c>
      <c r="C11" s="34">
        <v>17.8</v>
      </c>
      <c r="D11" s="34">
        <v>3.1</v>
      </c>
      <c r="E11" s="34">
        <v>5.7</v>
      </c>
      <c r="F11" s="34">
        <f t="shared" si="0"/>
        <v>18.945711915892737</v>
      </c>
      <c r="G11" s="34">
        <v>4.8</v>
      </c>
      <c r="H11" s="34">
        <v>17.8</v>
      </c>
      <c r="I11" s="35" t="s">
        <v>119</v>
      </c>
      <c r="J11" s="34">
        <v>61</v>
      </c>
      <c r="K11" s="34">
        <v>197</v>
      </c>
      <c r="L11" s="36">
        <v>0.54</v>
      </c>
      <c r="M11" s="36">
        <v>4.8</v>
      </c>
      <c r="N11" s="36" t="s">
        <v>120</v>
      </c>
      <c r="O11" s="37">
        <v>27.1</v>
      </c>
      <c r="P11" s="37" t="s">
        <v>105</v>
      </c>
      <c r="Q11" s="38"/>
    </row>
    <row r="12" spans="1:17" ht="24.95" customHeight="1">
      <c r="A12" s="32"/>
      <c r="B12" s="33" t="s">
        <v>121</v>
      </c>
      <c r="C12" s="42">
        <v>18</v>
      </c>
      <c r="D12" s="42">
        <v>0</v>
      </c>
      <c r="E12" s="42">
        <v>0</v>
      </c>
      <c r="F12" s="34">
        <f t="shared" si="0"/>
        <v>18</v>
      </c>
      <c r="G12" s="34">
        <v>2</v>
      </c>
      <c r="H12" s="34">
        <v>16.8</v>
      </c>
      <c r="I12" s="35" t="s">
        <v>122</v>
      </c>
      <c r="J12" s="42">
        <v>81</v>
      </c>
      <c r="K12" s="42">
        <v>97</v>
      </c>
      <c r="L12" s="36">
        <v>0.89</v>
      </c>
      <c r="M12" s="36">
        <v>2</v>
      </c>
      <c r="N12" s="36" t="s">
        <v>123</v>
      </c>
      <c r="O12" s="37">
        <v>25.5</v>
      </c>
      <c r="P12" s="37" t="s">
        <v>105</v>
      </c>
      <c r="Q12" s="38"/>
    </row>
    <row r="13" spans="1:17" ht="24.95" customHeight="1">
      <c r="A13" s="32"/>
      <c r="B13" s="33" t="s">
        <v>124</v>
      </c>
      <c r="C13" s="34">
        <v>17</v>
      </c>
      <c r="D13" s="34">
        <v>7.3</v>
      </c>
      <c r="E13" s="34">
        <v>7.1</v>
      </c>
      <c r="F13" s="34">
        <f t="shared" si="0"/>
        <v>19.81665965797465</v>
      </c>
      <c r="G13" s="34">
        <v>8.9</v>
      </c>
      <c r="H13" s="34">
        <v>20.2</v>
      </c>
      <c r="I13" s="35" t="s">
        <v>109</v>
      </c>
      <c r="J13" s="34">
        <v>40</v>
      </c>
      <c r="K13" s="34">
        <v>435</v>
      </c>
      <c r="L13" s="36">
        <v>0.41</v>
      </c>
      <c r="M13" s="36">
        <v>9.1</v>
      </c>
      <c r="N13" s="36" t="s">
        <v>120</v>
      </c>
      <c r="O13" s="37">
        <v>27.2</v>
      </c>
      <c r="P13" s="37" t="s">
        <v>105</v>
      </c>
      <c r="Q13" s="38"/>
    </row>
    <row r="14" spans="1:17" ht="24.95" customHeight="1">
      <c r="A14" s="32"/>
      <c r="B14" s="33" t="s">
        <v>125</v>
      </c>
      <c r="C14" s="34">
        <v>18</v>
      </c>
      <c r="D14" s="34">
        <v>8.8000000000000007</v>
      </c>
      <c r="E14" s="34">
        <v>7.1</v>
      </c>
      <c r="F14" s="34">
        <f t="shared" si="0"/>
        <v>21.256763629489793</v>
      </c>
      <c r="G14" s="34">
        <v>36.700000000000003</v>
      </c>
      <c r="H14" s="34">
        <v>24.9</v>
      </c>
      <c r="I14" s="35" t="s">
        <v>126</v>
      </c>
      <c r="J14" s="34">
        <v>153</v>
      </c>
      <c r="K14" s="34">
        <v>3.77</v>
      </c>
      <c r="L14" s="36">
        <v>0.8</v>
      </c>
      <c r="M14" s="36">
        <v>36.700000000000003</v>
      </c>
      <c r="N14" s="36" t="s">
        <v>127</v>
      </c>
      <c r="O14" s="37">
        <v>36.4</v>
      </c>
      <c r="P14" s="37" t="s">
        <v>101</v>
      </c>
      <c r="Q14" s="38"/>
    </row>
    <row r="15" spans="1:17" ht="24.95" customHeight="1">
      <c r="A15" s="32"/>
      <c r="B15" s="33" t="s">
        <v>128</v>
      </c>
      <c r="C15" s="34">
        <v>18.5</v>
      </c>
      <c r="D15" s="34">
        <v>14.5</v>
      </c>
      <c r="E15" s="34">
        <v>19</v>
      </c>
      <c r="F15" s="34">
        <f t="shared" si="0"/>
        <v>30.224162519414826</v>
      </c>
      <c r="G15" s="34">
        <v>46.7</v>
      </c>
      <c r="H15" s="34">
        <v>26.7</v>
      </c>
      <c r="I15" s="35" t="s">
        <v>129</v>
      </c>
      <c r="J15" s="34">
        <v>189</v>
      </c>
      <c r="K15" s="34">
        <v>0.6</v>
      </c>
      <c r="L15" s="36">
        <v>1.99</v>
      </c>
      <c r="M15" s="36">
        <v>46.7</v>
      </c>
      <c r="N15" s="36" t="s">
        <v>130</v>
      </c>
      <c r="O15" s="37">
        <v>43.5</v>
      </c>
      <c r="P15" s="37" t="s">
        <v>115</v>
      </c>
      <c r="Q15" s="31"/>
    </row>
    <row r="16" spans="1:17" ht="24.95" customHeight="1">
      <c r="A16" s="32"/>
      <c r="B16" s="40" t="s">
        <v>131</v>
      </c>
      <c r="C16" s="41">
        <v>18.2</v>
      </c>
      <c r="D16" s="41">
        <v>5.3</v>
      </c>
      <c r="E16" s="41">
        <v>7.2</v>
      </c>
      <c r="F16" s="42">
        <f t="shared" si="0"/>
        <v>20.27732724004818</v>
      </c>
      <c r="G16" s="34">
        <v>6</v>
      </c>
      <c r="H16" s="34">
        <v>18.2</v>
      </c>
      <c r="I16" s="35" t="s">
        <v>132</v>
      </c>
      <c r="J16" s="34">
        <v>77.099999999999994</v>
      </c>
      <c r="K16" s="34">
        <v>73</v>
      </c>
      <c r="L16" s="36">
        <v>0.45</v>
      </c>
      <c r="M16" s="36">
        <v>24.6</v>
      </c>
      <c r="N16" s="36" t="s">
        <v>133</v>
      </c>
      <c r="O16" s="37">
        <v>23.9</v>
      </c>
      <c r="P16" s="37" t="s">
        <v>105</v>
      </c>
      <c r="Q16" s="31"/>
    </row>
    <row r="17" spans="1:18" ht="24.95" customHeight="1">
      <c r="A17" s="32"/>
      <c r="B17" s="33" t="s">
        <v>134</v>
      </c>
      <c r="C17" s="42">
        <v>15.6</v>
      </c>
      <c r="D17" s="42">
        <v>16</v>
      </c>
      <c r="E17" s="42">
        <v>19</v>
      </c>
      <c r="F17" s="34">
        <f t="shared" si="0"/>
        <v>29.331893904076498</v>
      </c>
      <c r="G17" s="42">
        <v>24.3</v>
      </c>
      <c r="H17" s="42">
        <v>26</v>
      </c>
      <c r="I17" s="35" t="s">
        <v>129</v>
      </c>
      <c r="J17" s="42">
        <v>78</v>
      </c>
      <c r="K17" s="42">
        <v>44</v>
      </c>
      <c r="L17" s="36">
        <v>1.07</v>
      </c>
      <c r="M17" s="36">
        <v>6</v>
      </c>
      <c r="N17" s="36" t="s">
        <v>120</v>
      </c>
      <c r="O17" s="37">
        <v>22.3</v>
      </c>
      <c r="P17" s="37" t="s">
        <v>105</v>
      </c>
      <c r="Q17" s="31"/>
    </row>
    <row r="18" spans="1:18" ht="24.95" customHeight="1">
      <c r="A18" s="32"/>
      <c r="B18" s="43" t="s">
        <v>135</v>
      </c>
      <c r="C18" s="35">
        <v>17.100000000000001</v>
      </c>
      <c r="D18" s="35">
        <v>19</v>
      </c>
      <c r="E18" s="35">
        <v>26.1</v>
      </c>
      <c r="F18" s="34">
        <f t="shared" si="0"/>
        <v>36.532451327552607</v>
      </c>
      <c r="G18" s="34">
        <v>109</v>
      </c>
      <c r="H18" s="34">
        <v>36.6</v>
      </c>
      <c r="I18" s="35" t="s">
        <v>136</v>
      </c>
      <c r="J18" s="34">
        <v>210</v>
      </c>
      <c r="K18" s="34">
        <v>0.08</v>
      </c>
      <c r="L18" s="36">
        <v>3.3</v>
      </c>
      <c r="M18" s="36">
        <v>109</v>
      </c>
      <c r="N18" s="36" t="s">
        <v>137</v>
      </c>
      <c r="O18" s="37">
        <v>58.2</v>
      </c>
      <c r="P18" s="37" t="s">
        <v>115</v>
      </c>
      <c r="Q18" s="31"/>
    </row>
    <row r="19" spans="1:18" ht="24.95" customHeight="1">
      <c r="A19" s="32"/>
      <c r="B19" s="33" t="s">
        <v>138</v>
      </c>
      <c r="C19" s="42">
        <v>19</v>
      </c>
      <c r="D19" s="42">
        <v>16.600000000000001</v>
      </c>
      <c r="E19" s="42">
        <v>7.4</v>
      </c>
      <c r="F19" s="42">
        <f t="shared" si="0"/>
        <v>26.292964838526675</v>
      </c>
      <c r="G19" s="34">
        <v>39</v>
      </c>
      <c r="H19" s="34">
        <v>22.8</v>
      </c>
      <c r="I19" s="35" t="s">
        <v>126</v>
      </c>
      <c r="J19" s="34">
        <v>204</v>
      </c>
      <c r="K19" s="34">
        <v>1.5</v>
      </c>
      <c r="L19" s="36">
        <v>2</v>
      </c>
      <c r="M19" s="36">
        <v>39</v>
      </c>
      <c r="N19" s="36" t="s">
        <v>114</v>
      </c>
      <c r="O19" s="37">
        <v>43.8</v>
      </c>
      <c r="P19" s="37" t="s">
        <v>115</v>
      </c>
      <c r="Q19" s="38"/>
    </row>
    <row r="20" spans="1:18" ht="24.95" customHeight="1">
      <c r="A20" s="32"/>
      <c r="B20" s="33" t="s">
        <v>139</v>
      </c>
      <c r="C20" s="34">
        <v>15.8</v>
      </c>
      <c r="D20" s="34">
        <v>6.1</v>
      </c>
      <c r="E20" s="34">
        <v>16.399999999999999</v>
      </c>
      <c r="F20" s="34">
        <f t="shared" si="0"/>
        <v>23.575623003433016</v>
      </c>
      <c r="G20" s="34">
        <v>18.3</v>
      </c>
      <c r="H20" s="34">
        <v>23.5</v>
      </c>
      <c r="I20" s="35" t="s">
        <v>126</v>
      </c>
      <c r="J20" s="34">
        <v>82</v>
      </c>
      <c r="K20" s="34">
        <v>44</v>
      </c>
      <c r="L20" s="36">
        <v>2.1</v>
      </c>
      <c r="M20" s="36">
        <v>18.3</v>
      </c>
      <c r="N20" s="36" t="s">
        <v>127</v>
      </c>
      <c r="O20" s="37">
        <v>21.7</v>
      </c>
      <c r="P20" s="37" t="s">
        <v>105</v>
      </c>
      <c r="Q20" s="38"/>
    </row>
    <row r="21" spans="1:18" ht="24.95" customHeight="1">
      <c r="A21" s="32"/>
      <c r="B21" s="40" t="s">
        <v>140</v>
      </c>
      <c r="C21" s="41">
        <v>15.3</v>
      </c>
      <c r="D21" s="41">
        <v>9</v>
      </c>
      <c r="E21" s="41">
        <v>4.8</v>
      </c>
      <c r="F21" s="42">
        <f t="shared" si="0"/>
        <v>18.388311504866348</v>
      </c>
      <c r="G21" s="34">
        <v>18.5</v>
      </c>
      <c r="H21" s="34">
        <v>19.3</v>
      </c>
      <c r="I21" s="35" t="s">
        <v>141</v>
      </c>
      <c r="J21" s="34">
        <v>79.599999999999994</v>
      </c>
      <c r="K21" s="34">
        <v>88</v>
      </c>
      <c r="L21" s="36">
        <v>0.43</v>
      </c>
      <c r="M21" s="36">
        <v>7.5</v>
      </c>
      <c r="N21" s="36" t="s">
        <v>142</v>
      </c>
      <c r="O21" s="37">
        <v>24.6</v>
      </c>
      <c r="P21" s="37" t="s">
        <v>105</v>
      </c>
      <c r="Q21" s="38"/>
    </row>
    <row r="22" spans="1:18" ht="24.95" customHeight="1">
      <c r="A22" s="32"/>
      <c r="B22" s="33" t="s">
        <v>143</v>
      </c>
      <c r="C22" s="34">
        <v>14.6</v>
      </c>
      <c r="D22" s="34">
        <v>9.1999999999999993</v>
      </c>
      <c r="E22" s="34">
        <v>16</v>
      </c>
      <c r="F22" s="34">
        <f t="shared" si="0"/>
        <v>23.532955615476777</v>
      </c>
      <c r="G22" s="34">
        <v>32.6</v>
      </c>
      <c r="H22" s="34">
        <v>29.6</v>
      </c>
      <c r="I22" s="35" t="s">
        <v>144</v>
      </c>
      <c r="J22" s="34">
        <v>64</v>
      </c>
      <c r="K22" s="34">
        <v>96</v>
      </c>
      <c r="L22" s="36">
        <v>0.54</v>
      </c>
      <c r="M22" s="36">
        <v>32.6</v>
      </c>
      <c r="N22" s="36" t="s">
        <v>145</v>
      </c>
      <c r="O22" s="37">
        <v>22.6</v>
      </c>
      <c r="P22" s="37" t="s">
        <v>105</v>
      </c>
      <c r="Q22" s="38"/>
    </row>
    <row r="23" spans="1:18" ht="24.95" customHeight="1">
      <c r="A23" s="32"/>
      <c r="B23" s="33" t="s">
        <v>146</v>
      </c>
      <c r="C23" s="34">
        <v>18</v>
      </c>
      <c r="D23" s="34">
        <v>12.3</v>
      </c>
      <c r="E23" s="34">
        <v>7.2</v>
      </c>
      <c r="F23" s="34">
        <f t="shared" si="0"/>
        <v>22.959311836376976</v>
      </c>
      <c r="G23" s="34">
        <v>32.200000000000003</v>
      </c>
      <c r="H23" s="34">
        <v>22.9</v>
      </c>
      <c r="I23" s="35" t="s">
        <v>147</v>
      </c>
      <c r="J23" s="34">
        <v>202</v>
      </c>
      <c r="K23" s="34">
        <v>0.28999999999999998</v>
      </c>
      <c r="L23" s="36">
        <v>1.65</v>
      </c>
      <c r="M23" s="36">
        <v>32</v>
      </c>
      <c r="N23" s="36" t="s">
        <v>114</v>
      </c>
      <c r="O23" s="37">
        <v>40.700000000000003</v>
      </c>
      <c r="P23" s="37" t="s">
        <v>115</v>
      </c>
      <c r="Q23" s="38"/>
    </row>
    <row r="24" spans="1:18" ht="24.95" customHeight="1">
      <c r="A24" s="32"/>
      <c r="B24" s="33" t="s">
        <v>148</v>
      </c>
      <c r="C24" s="34">
        <v>16.8</v>
      </c>
      <c r="D24" s="34">
        <v>5.7</v>
      </c>
      <c r="E24" s="34">
        <v>8</v>
      </c>
      <c r="F24" s="34">
        <f t="shared" si="0"/>
        <v>19.460986614249546</v>
      </c>
      <c r="G24" s="34">
        <v>7.6</v>
      </c>
      <c r="H24" s="34">
        <v>19.399999999999999</v>
      </c>
      <c r="I24" s="35" t="s">
        <v>132</v>
      </c>
      <c r="J24" s="34">
        <v>66</v>
      </c>
      <c r="K24" s="34">
        <v>143</v>
      </c>
      <c r="L24" s="36">
        <v>0.46</v>
      </c>
      <c r="M24" s="36">
        <v>7.6</v>
      </c>
      <c r="N24" s="36" t="s">
        <v>142</v>
      </c>
      <c r="O24" s="37">
        <v>26.4</v>
      </c>
      <c r="P24" s="37" t="s">
        <v>105</v>
      </c>
      <c r="Q24" s="38"/>
    </row>
    <row r="25" spans="1:18" ht="24.95" customHeight="1">
      <c r="A25" s="32"/>
      <c r="B25" s="33" t="s">
        <v>149</v>
      </c>
      <c r="C25" s="34">
        <v>18</v>
      </c>
      <c r="D25" s="34">
        <v>1.4</v>
      </c>
      <c r="E25" s="34">
        <v>2</v>
      </c>
      <c r="F25" s="34">
        <f t="shared" si="0"/>
        <v>18.164801127455263</v>
      </c>
      <c r="G25" s="34">
        <v>2.4</v>
      </c>
      <c r="H25" s="34">
        <v>18</v>
      </c>
      <c r="I25" s="35" t="s">
        <v>150</v>
      </c>
      <c r="J25" s="34">
        <v>111</v>
      </c>
      <c r="K25" s="34">
        <v>28.4</v>
      </c>
      <c r="L25" s="36">
        <v>0.59</v>
      </c>
      <c r="M25" s="36">
        <v>2.4</v>
      </c>
      <c r="N25" s="36" t="s">
        <v>151</v>
      </c>
      <c r="O25" s="37">
        <v>28.4</v>
      </c>
      <c r="P25" s="37" t="s">
        <v>105</v>
      </c>
      <c r="Q25" s="38"/>
    </row>
    <row r="26" spans="1:18" ht="24.95" customHeight="1">
      <c r="A26" s="32"/>
      <c r="B26" s="33" t="s">
        <v>152</v>
      </c>
      <c r="C26" s="34">
        <v>15.5</v>
      </c>
      <c r="D26" s="34">
        <v>16</v>
      </c>
      <c r="E26" s="34">
        <v>42.3</v>
      </c>
      <c r="F26" s="34">
        <f t="shared" si="0"/>
        <v>47.807321614999516</v>
      </c>
      <c r="G26" s="34">
        <v>78.5</v>
      </c>
      <c r="H26" s="34">
        <v>23.5</v>
      </c>
      <c r="I26" s="35" t="s">
        <v>136</v>
      </c>
      <c r="J26" s="41">
        <v>100</v>
      </c>
      <c r="K26" s="41">
        <v>23.8</v>
      </c>
      <c r="L26" s="36">
        <v>0.89</v>
      </c>
      <c r="M26" s="36">
        <v>78.5</v>
      </c>
      <c r="N26" s="36" t="s">
        <v>130</v>
      </c>
      <c r="O26" s="37">
        <v>72.8</v>
      </c>
      <c r="P26" s="37" t="s">
        <v>115</v>
      </c>
      <c r="Q26" s="38"/>
    </row>
    <row r="27" spans="1:18" ht="24.95" customHeight="1" thickBot="1">
      <c r="A27" s="44"/>
      <c r="B27" s="45" t="s">
        <v>153</v>
      </c>
      <c r="C27" s="46">
        <v>18</v>
      </c>
      <c r="D27" s="46">
        <v>2.5</v>
      </c>
      <c r="E27" s="46">
        <v>0</v>
      </c>
      <c r="F27" s="47">
        <f t="shared" si="0"/>
        <v>18.172781845386247</v>
      </c>
      <c r="G27" s="46">
        <v>2.2999999999999998</v>
      </c>
      <c r="H27" s="46">
        <v>17.8</v>
      </c>
      <c r="I27" s="48" t="s">
        <v>119</v>
      </c>
      <c r="J27" s="46">
        <v>144</v>
      </c>
      <c r="K27" s="46">
        <v>6.6</v>
      </c>
      <c r="L27" s="49">
        <v>0.76</v>
      </c>
      <c r="M27" s="49">
        <v>2.5</v>
      </c>
      <c r="N27" s="49" t="s">
        <v>123</v>
      </c>
      <c r="O27" s="50">
        <v>28.4</v>
      </c>
      <c r="P27" s="50" t="s">
        <v>105</v>
      </c>
      <c r="Q27" s="51"/>
    </row>
    <row r="28" spans="1:18" ht="24.95" customHeight="1">
      <c r="A28" s="24" t="s">
        <v>154</v>
      </c>
      <c r="B28" s="52" t="s">
        <v>155</v>
      </c>
      <c r="C28" s="53">
        <v>18</v>
      </c>
      <c r="D28" s="53">
        <v>7</v>
      </c>
      <c r="E28" s="53">
        <v>15</v>
      </c>
      <c r="F28" s="54">
        <f t="shared" si="0"/>
        <v>24.454038521274967</v>
      </c>
      <c r="G28" s="26">
        <v>7</v>
      </c>
      <c r="H28" s="26">
        <v>17</v>
      </c>
      <c r="I28" s="26" t="s">
        <v>156</v>
      </c>
      <c r="J28" s="53">
        <v>13.5</v>
      </c>
      <c r="K28" s="53"/>
      <c r="L28" s="55"/>
      <c r="M28" s="55"/>
      <c r="N28" s="55"/>
      <c r="O28" s="56"/>
      <c r="P28" s="56"/>
      <c r="Q28" s="57"/>
    </row>
    <row r="29" spans="1:18" ht="24.95" customHeight="1">
      <c r="A29" s="32"/>
      <c r="B29" s="58" t="s">
        <v>157</v>
      </c>
      <c r="C29" s="59">
        <v>17.2</v>
      </c>
      <c r="D29" s="59">
        <v>2.9</v>
      </c>
      <c r="E29" s="59">
        <v>9.4</v>
      </c>
      <c r="F29" s="42">
        <f t="shared" si="0"/>
        <v>19.814388711237093</v>
      </c>
      <c r="G29" s="59" t="s">
        <v>158</v>
      </c>
      <c r="H29" s="59">
        <v>20.7</v>
      </c>
      <c r="I29" s="59" t="s">
        <v>159</v>
      </c>
      <c r="J29" s="59" t="s">
        <v>160</v>
      </c>
      <c r="K29" s="59"/>
      <c r="L29" s="58"/>
      <c r="M29" s="58"/>
      <c r="N29" s="58"/>
      <c r="O29" s="60"/>
      <c r="P29" s="60"/>
      <c r="Q29" s="38"/>
    </row>
    <row r="30" spans="1:18" ht="24.95" customHeight="1">
      <c r="A30" s="32"/>
      <c r="B30" s="61" t="s">
        <v>161</v>
      </c>
      <c r="C30" s="59">
        <v>17.600000000000001</v>
      </c>
      <c r="D30" s="59">
        <v>2</v>
      </c>
      <c r="E30" s="59">
        <v>4.2</v>
      </c>
      <c r="F30" s="42">
        <f t="shared" si="0"/>
        <v>18.204395073717777</v>
      </c>
      <c r="G30" s="59" t="s">
        <v>162</v>
      </c>
      <c r="H30" s="59">
        <v>17.600000000000001</v>
      </c>
      <c r="I30" s="59" t="s">
        <v>163</v>
      </c>
      <c r="J30" s="59">
        <v>1</v>
      </c>
      <c r="K30" s="59"/>
      <c r="L30" s="58"/>
      <c r="M30" s="58"/>
      <c r="N30" s="58"/>
      <c r="O30" s="60"/>
      <c r="P30" s="60"/>
      <c r="Q30" s="38"/>
    </row>
    <row r="31" spans="1:18" ht="24.95" customHeight="1" thickBot="1">
      <c r="A31" s="44"/>
      <c r="B31" s="62" t="s">
        <v>164</v>
      </c>
      <c r="C31" s="63">
        <v>17.399999999999999</v>
      </c>
      <c r="D31" s="63">
        <v>4.2</v>
      </c>
      <c r="E31" s="63">
        <v>6.3</v>
      </c>
      <c r="F31" s="64">
        <f t="shared" si="0"/>
        <v>18.976037521042162</v>
      </c>
      <c r="G31" s="63" t="s">
        <v>165</v>
      </c>
      <c r="H31" s="46">
        <v>18</v>
      </c>
      <c r="I31" s="46" t="s">
        <v>150</v>
      </c>
      <c r="J31" s="63" t="s">
        <v>166</v>
      </c>
      <c r="K31" s="63"/>
      <c r="L31" s="65"/>
      <c r="M31" s="65"/>
      <c r="N31" s="65"/>
      <c r="O31" s="66"/>
      <c r="P31" s="66"/>
      <c r="Q31" s="51"/>
    </row>
    <row r="32" spans="1:18">
      <c r="A32" s="67"/>
      <c r="B32" s="68"/>
      <c r="C32" s="67"/>
      <c r="D32" s="67"/>
      <c r="E32" s="67"/>
      <c r="F32" s="69"/>
      <c r="G32" s="67"/>
      <c r="H32" s="70"/>
      <c r="I32" s="70"/>
      <c r="J32" s="71"/>
      <c r="L32" s="71"/>
      <c r="M32" s="71"/>
      <c r="N32" s="71"/>
      <c r="O32" s="71"/>
      <c r="P32" s="71"/>
      <c r="Q32" s="71"/>
      <c r="R32" s="71"/>
    </row>
    <row r="33" spans="2:13" ht="20.25">
      <c r="B33" s="72" t="s">
        <v>167</v>
      </c>
    </row>
    <row r="34" spans="2:13" ht="20.25">
      <c r="B34" s="72"/>
    </row>
    <row r="35" spans="2:13" ht="17.25" thickBot="1">
      <c r="B35" s="73" t="s">
        <v>168</v>
      </c>
      <c r="C35" s="74"/>
      <c r="D35" s="75"/>
    </row>
    <row r="36" spans="2:13">
      <c r="B36" s="76" t="s">
        <v>169</v>
      </c>
      <c r="C36" s="77" t="s">
        <v>170</v>
      </c>
      <c r="D36" s="77"/>
      <c r="E36" s="77" t="s">
        <v>171</v>
      </c>
      <c r="F36" s="77"/>
      <c r="G36" s="77"/>
      <c r="H36" s="77"/>
      <c r="I36" s="77"/>
      <c r="J36" s="78"/>
    </row>
    <row r="37" spans="2:13">
      <c r="B37" s="9" t="s">
        <v>172</v>
      </c>
      <c r="C37" s="79" t="s">
        <v>173</v>
      </c>
      <c r="D37" s="79"/>
      <c r="E37" s="80" t="s">
        <v>174</v>
      </c>
      <c r="F37" s="80"/>
      <c r="G37" s="80"/>
      <c r="H37" s="80"/>
      <c r="I37" s="80"/>
      <c r="J37" s="81"/>
    </row>
    <row r="38" spans="2:13">
      <c r="B38" s="9" t="s">
        <v>175</v>
      </c>
      <c r="C38" s="79" t="s">
        <v>176</v>
      </c>
      <c r="D38" s="79"/>
      <c r="E38" s="80" t="s">
        <v>177</v>
      </c>
      <c r="F38" s="80"/>
      <c r="G38" s="80"/>
      <c r="H38" s="80"/>
      <c r="I38" s="80"/>
      <c r="J38" s="81"/>
    </row>
    <row r="39" spans="2:13" ht="15.75" customHeight="1" thickBot="1">
      <c r="B39" s="82" t="s">
        <v>178</v>
      </c>
      <c r="C39" s="83" t="s">
        <v>179</v>
      </c>
      <c r="D39" s="83"/>
      <c r="E39" s="83" t="s">
        <v>180</v>
      </c>
      <c r="F39" s="83"/>
      <c r="G39" s="83"/>
      <c r="H39" s="83"/>
      <c r="I39" s="83"/>
      <c r="J39" s="84"/>
    </row>
    <row r="40" spans="2:13">
      <c r="B40" s="74"/>
      <c r="C40" s="74"/>
      <c r="D40" s="75"/>
    </row>
    <row r="43" spans="2:13" ht="21.75">
      <c r="B43" s="85" t="s">
        <v>181</v>
      </c>
    </row>
    <row r="44" spans="2:13" ht="17.25" thickBot="1"/>
    <row r="45" spans="2:13" s="74" customFormat="1">
      <c r="B45" s="76" t="s">
        <v>182</v>
      </c>
      <c r="C45" s="86" t="s">
        <v>183</v>
      </c>
      <c r="D45" s="87" t="s">
        <v>184</v>
      </c>
      <c r="E45" s="87" t="s">
        <v>185</v>
      </c>
      <c r="F45" s="88" t="s">
        <v>186</v>
      </c>
      <c r="G45" s="88" t="s">
        <v>187</v>
      </c>
      <c r="H45" s="88" t="s">
        <v>188</v>
      </c>
      <c r="I45" s="88" t="s">
        <v>189</v>
      </c>
      <c r="J45" s="88" t="s">
        <v>190</v>
      </c>
      <c r="K45" s="88" t="s">
        <v>191</v>
      </c>
      <c r="L45" s="88" t="s">
        <v>192</v>
      </c>
      <c r="M45" s="89" t="s">
        <v>193</v>
      </c>
    </row>
    <row r="46" spans="2:13" s="74" customFormat="1">
      <c r="B46" s="9" t="s">
        <v>194</v>
      </c>
      <c r="C46" s="7">
        <v>39</v>
      </c>
      <c r="D46" s="7">
        <v>34.799999999999997</v>
      </c>
      <c r="E46" s="7">
        <v>30.4</v>
      </c>
      <c r="F46" s="90">
        <v>25.6</v>
      </c>
      <c r="G46" s="90">
        <v>20.5</v>
      </c>
      <c r="H46" s="90">
        <v>14.9</v>
      </c>
      <c r="I46" s="90">
        <v>8.6999999999999993</v>
      </c>
      <c r="J46" s="90">
        <v>1.6</v>
      </c>
      <c r="K46" s="90">
        <v>-6.6</v>
      </c>
      <c r="L46" s="90">
        <v>-16.8</v>
      </c>
      <c r="M46" s="91" t="s">
        <v>195</v>
      </c>
    </row>
    <row r="47" spans="2:13" s="74" customFormat="1">
      <c r="B47" s="9" t="s">
        <v>196</v>
      </c>
      <c r="C47" s="7">
        <v>55.5</v>
      </c>
      <c r="D47" s="7">
        <v>51.1</v>
      </c>
      <c r="E47" s="7">
        <v>46.5</v>
      </c>
      <c r="F47" s="90">
        <v>41.5</v>
      </c>
      <c r="G47" s="90">
        <v>36.200000000000003</v>
      </c>
      <c r="H47" s="90">
        <v>30.4</v>
      </c>
      <c r="I47" s="90">
        <v>24</v>
      </c>
      <c r="J47" s="90">
        <v>16.7</v>
      </c>
      <c r="K47" s="90">
        <v>8.1</v>
      </c>
      <c r="L47" s="90">
        <v>-2.2000000000000002</v>
      </c>
      <c r="M47" s="91" t="s">
        <v>195</v>
      </c>
    </row>
    <row r="48" spans="2:13" s="74" customFormat="1">
      <c r="B48" s="9" t="s">
        <v>197</v>
      </c>
      <c r="C48" s="7">
        <v>60.5</v>
      </c>
      <c r="D48" s="7">
        <v>56.2</v>
      </c>
      <c r="E48" s="7">
        <v>51.7</v>
      </c>
      <c r="F48" s="90">
        <v>46.8</v>
      </c>
      <c r="G48" s="90">
        <v>41.6</v>
      </c>
      <c r="H48" s="90">
        <v>35.9</v>
      </c>
      <c r="I48" s="90">
        <v>29.6</v>
      </c>
      <c r="J48" s="90">
        <v>22.5</v>
      </c>
      <c r="K48" s="90">
        <v>14.1</v>
      </c>
      <c r="L48" s="90">
        <v>3.8</v>
      </c>
      <c r="M48" s="91" t="s">
        <v>198</v>
      </c>
    </row>
    <row r="49" spans="2:13" s="74" customFormat="1">
      <c r="B49" s="9" t="s">
        <v>143</v>
      </c>
      <c r="C49" s="7">
        <v>64</v>
      </c>
      <c r="D49" s="7">
        <v>59.7</v>
      </c>
      <c r="E49" s="7">
        <v>55.2</v>
      </c>
      <c r="F49" s="90">
        <v>50.4</v>
      </c>
      <c r="G49" s="90">
        <v>45.1</v>
      </c>
      <c r="H49" s="90">
        <v>39.4</v>
      </c>
      <c r="I49" s="90">
        <v>33.1</v>
      </c>
      <c r="J49" s="90">
        <v>25.8</v>
      </c>
      <c r="K49" s="90">
        <v>17.2</v>
      </c>
      <c r="L49" s="90">
        <v>6.6</v>
      </c>
      <c r="M49" s="91" t="s">
        <v>195</v>
      </c>
    </row>
    <row r="50" spans="2:13" s="74" customFormat="1">
      <c r="B50" s="9" t="s">
        <v>199</v>
      </c>
      <c r="C50" s="7">
        <v>65.3</v>
      </c>
      <c r="D50" s="7">
        <v>60.9</v>
      </c>
      <c r="E50" s="7">
        <v>56.2</v>
      </c>
      <c r="F50" s="90">
        <v>51.2</v>
      </c>
      <c r="G50" s="90">
        <v>45.8</v>
      </c>
      <c r="H50" s="90">
        <v>39.9</v>
      </c>
      <c r="I50" s="90">
        <v>33.4</v>
      </c>
      <c r="J50" s="90">
        <v>25.9</v>
      </c>
      <c r="K50" s="90">
        <v>17.100000000000001</v>
      </c>
      <c r="L50" s="90">
        <v>6.2</v>
      </c>
      <c r="M50" s="91" t="s">
        <v>198</v>
      </c>
    </row>
    <row r="51" spans="2:13" s="74" customFormat="1">
      <c r="B51" s="9" t="s">
        <v>200</v>
      </c>
      <c r="C51" s="92">
        <v>68.7</v>
      </c>
      <c r="D51" s="92">
        <v>64.2</v>
      </c>
      <c r="E51" s="92">
        <v>59.3</v>
      </c>
      <c r="F51" s="93">
        <v>54</v>
      </c>
      <c r="G51" s="93">
        <v>48.2</v>
      </c>
      <c r="H51" s="93">
        <v>41.8</v>
      </c>
      <c r="I51" s="93">
        <v>34.700000000000003</v>
      </c>
      <c r="J51" s="93">
        <v>26.6</v>
      </c>
      <c r="K51" s="93">
        <v>17</v>
      </c>
      <c r="L51" s="93">
        <v>4.3</v>
      </c>
      <c r="M51" s="91" t="s">
        <v>201</v>
      </c>
    </row>
    <row r="52" spans="2:13" s="74" customFormat="1">
      <c r="B52" s="9" t="s">
        <v>202</v>
      </c>
      <c r="C52" s="7">
        <v>76.400000000000006</v>
      </c>
      <c r="D52" s="7">
        <v>71.900000000000006</v>
      </c>
      <c r="E52" s="7">
        <v>67.099999999999994</v>
      </c>
      <c r="F52" s="90">
        <v>62</v>
      </c>
      <c r="G52" s="90">
        <v>56.5</v>
      </c>
      <c r="H52" s="90">
        <v>50.4</v>
      </c>
      <c r="I52" s="90">
        <v>43.8</v>
      </c>
      <c r="J52" s="90">
        <v>36.200000000000003</v>
      </c>
      <c r="K52" s="90">
        <v>27.4</v>
      </c>
      <c r="L52" s="90">
        <v>16.5</v>
      </c>
      <c r="M52" s="91" t="s">
        <v>195</v>
      </c>
    </row>
    <row r="53" spans="2:13" s="74" customFormat="1">
      <c r="B53" s="9" t="s">
        <v>203</v>
      </c>
      <c r="C53" s="7">
        <v>77.7</v>
      </c>
      <c r="D53" s="7">
        <v>73.3</v>
      </c>
      <c r="E53" s="7">
        <v>68.599999999999994</v>
      </c>
      <c r="F53" s="90">
        <v>63.6</v>
      </c>
      <c r="G53" s="90">
        <v>58.1</v>
      </c>
      <c r="H53" s="90">
        <v>52.2</v>
      </c>
      <c r="I53" s="90">
        <v>45.6</v>
      </c>
      <c r="J53" s="90">
        <v>38.1</v>
      </c>
      <c r="K53" s="90">
        <v>29.2</v>
      </c>
      <c r="L53" s="90">
        <v>18.2</v>
      </c>
      <c r="M53" s="91" t="s">
        <v>198</v>
      </c>
    </row>
    <row r="54" spans="2:13" s="74" customFormat="1">
      <c r="B54" s="9" t="s">
        <v>204</v>
      </c>
      <c r="C54" s="7">
        <v>78.8</v>
      </c>
      <c r="D54" s="7">
        <v>74.2</v>
      </c>
      <c r="E54" s="7">
        <v>69.400000000000006</v>
      </c>
      <c r="F54" s="90">
        <v>64.2</v>
      </c>
      <c r="G54" s="90">
        <v>58.5</v>
      </c>
      <c r="H54" s="90">
        <v>52.4</v>
      </c>
      <c r="I54" s="90">
        <v>45.5</v>
      </c>
      <c r="J54" s="90">
        <v>37.700000000000003</v>
      </c>
      <c r="K54" s="90">
        <v>28.5</v>
      </c>
      <c r="L54" s="90">
        <v>17.100000000000001</v>
      </c>
      <c r="M54" s="91" t="s">
        <v>198</v>
      </c>
    </row>
    <row r="55" spans="2:13" s="74" customFormat="1">
      <c r="B55" s="9" t="s">
        <v>205</v>
      </c>
      <c r="C55" s="7">
        <v>79.8</v>
      </c>
      <c r="D55" s="7">
        <v>75.3</v>
      </c>
      <c r="E55" s="7">
        <v>70.5</v>
      </c>
      <c r="F55" s="90">
        <v>65.400000000000006</v>
      </c>
      <c r="G55" s="90">
        <v>59.8</v>
      </c>
      <c r="H55" s="90">
        <v>53.8</v>
      </c>
      <c r="I55" s="90">
        <v>47.1</v>
      </c>
      <c r="J55" s="90">
        <v>39.5</v>
      </c>
      <c r="K55" s="90">
        <v>30.6</v>
      </c>
      <c r="L55" s="90">
        <v>19.8</v>
      </c>
      <c r="M55" s="91" t="s">
        <v>206</v>
      </c>
    </row>
    <row r="56" spans="2:13" s="74" customFormat="1">
      <c r="B56" s="9" t="s">
        <v>207</v>
      </c>
      <c r="C56" s="7">
        <v>81.5</v>
      </c>
      <c r="D56" s="7">
        <v>77</v>
      </c>
      <c r="E56" s="7">
        <v>72.3</v>
      </c>
      <c r="F56" s="90">
        <v>67.2</v>
      </c>
      <c r="G56" s="90">
        <v>61.7</v>
      </c>
      <c r="H56" s="90">
        <v>55.6</v>
      </c>
      <c r="I56" s="90">
        <v>48.9</v>
      </c>
      <c r="J56" s="90">
        <v>41.2</v>
      </c>
      <c r="K56" s="90">
        <v>32.1</v>
      </c>
      <c r="L56" s="90">
        <v>20.8</v>
      </c>
      <c r="M56" s="91" t="s">
        <v>208</v>
      </c>
    </row>
    <row r="57" spans="2:13" s="74" customFormat="1">
      <c r="B57" s="9" t="s">
        <v>209</v>
      </c>
      <c r="C57" s="7">
        <v>99.6</v>
      </c>
      <c r="D57" s="7">
        <v>96.3</v>
      </c>
      <c r="E57" s="7">
        <v>92.7</v>
      </c>
      <c r="F57" s="90">
        <v>88.7</v>
      </c>
      <c r="G57" s="90">
        <v>84.4</v>
      </c>
      <c r="H57" s="90">
        <v>79.599999999999994</v>
      </c>
      <c r="I57" s="90">
        <v>74.2</v>
      </c>
      <c r="J57" s="90">
        <v>67.900000000000006</v>
      </c>
      <c r="K57" s="90">
        <v>60.1</v>
      </c>
      <c r="L57" s="90">
        <v>49.8</v>
      </c>
      <c r="M57" s="91" t="s">
        <v>210</v>
      </c>
    </row>
    <row r="58" spans="2:13" s="74" customFormat="1">
      <c r="B58" s="9" t="s">
        <v>211</v>
      </c>
      <c r="C58" s="7">
        <v>110</v>
      </c>
      <c r="D58" s="7">
        <v>105.1</v>
      </c>
      <c r="E58" s="7">
        <v>99.9</v>
      </c>
      <c r="F58" s="90">
        <v>94.4</v>
      </c>
      <c r="G58" s="90">
        <v>88.4</v>
      </c>
      <c r="H58" s="90">
        <v>81.900000000000006</v>
      </c>
      <c r="I58" s="90">
        <v>74.599999999999994</v>
      </c>
      <c r="J58" s="90">
        <v>66.400000000000006</v>
      </c>
      <c r="K58" s="90">
        <v>56.7</v>
      </c>
      <c r="L58" s="90">
        <v>44.9</v>
      </c>
      <c r="M58" s="91" t="s">
        <v>212</v>
      </c>
    </row>
    <row r="59" spans="2:13" s="74" customFormat="1">
      <c r="B59" s="9" t="s">
        <v>213</v>
      </c>
      <c r="C59" s="7">
        <v>131.1</v>
      </c>
      <c r="D59" s="7">
        <v>126</v>
      </c>
      <c r="E59" s="7">
        <v>120.6</v>
      </c>
      <c r="F59" s="90">
        <v>114.9</v>
      </c>
      <c r="G59" s="90">
        <v>108.7</v>
      </c>
      <c r="H59" s="90">
        <v>102.1</v>
      </c>
      <c r="I59" s="90">
        <v>94.8</v>
      </c>
      <c r="J59" s="90">
        <v>86.6</v>
      </c>
      <c r="K59" s="90">
        <v>77.099999999999994</v>
      </c>
      <c r="L59" s="90">
        <v>65.3</v>
      </c>
      <c r="M59" s="91" t="s">
        <v>214</v>
      </c>
    </row>
    <row r="60" spans="2:13" s="74" customFormat="1">
      <c r="B60" s="9" t="s">
        <v>215</v>
      </c>
      <c r="C60" s="7">
        <v>138.19999999999999</v>
      </c>
      <c r="D60" s="7">
        <v>133.1</v>
      </c>
      <c r="E60" s="7">
        <v>127.7</v>
      </c>
      <c r="F60" s="90">
        <v>121.9</v>
      </c>
      <c r="G60" s="90">
        <v>115.7</v>
      </c>
      <c r="H60" s="90">
        <v>108.9</v>
      </c>
      <c r="I60" s="90">
        <v>101.4</v>
      </c>
      <c r="J60" s="90">
        <v>92.9</v>
      </c>
      <c r="K60" s="90">
        <v>83.1</v>
      </c>
      <c r="L60" s="90">
        <v>70.8</v>
      </c>
      <c r="M60" s="91" t="s">
        <v>7</v>
      </c>
    </row>
    <row r="61" spans="2:13" s="74" customFormat="1" ht="15.75" customHeight="1">
      <c r="B61" s="9" t="s">
        <v>216</v>
      </c>
      <c r="C61" s="7">
        <v>152</v>
      </c>
      <c r="D61" s="7">
        <v>146.6</v>
      </c>
      <c r="E61" s="7">
        <v>140.9</v>
      </c>
      <c r="F61" s="90">
        <v>134.9</v>
      </c>
      <c r="G61" s="90">
        <v>128.4</v>
      </c>
      <c r="H61" s="90">
        <v>121.3</v>
      </c>
      <c r="I61" s="90">
        <v>113.5</v>
      </c>
      <c r="J61" s="90">
        <v>104.7</v>
      </c>
      <c r="K61" s="90">
        <v>94.4</v>
      </c>
      <c r="L61" s="90">
        <v>81.8</v>
      </c>
      <c r="M61" s="91" t="s">
        <v>208</v>
      </c>
    </row>
    <row r="62" spans="2:13" s="74" customFormat="1">
      <c r="B62" s="9" t="s">
        <v>217</v>
      </c>
      <c r="C62" s="7">
        <v>152.9</v>
      </c>
      <c r="D62" s="7">
        <v>147.5</v>
      </c>
      <c r="E62" s="7">
        <v>141.9</v>
      </c>
      <c r="F62" s="90">
        <v>135.9</v>
      </c>
      <c r="G62" s="90">
        <v>129.5</v>
      </c>
      <c r="H62" s="90">
        <v>122.6</v>
      </c>
      <c r="I62" s="90">
        <v>115.1</v>
      </c>
      <c r="J62" s="90">
        <v>106.7</v>
      </c>
      <c r="K62" s="90">
        <v>97.2</v>
      </c>
      <c r="L62" s="90">
        <v>85.3</v>
      </c>
      <c r="M62" s="91" t="s">
        <v>214</v>
      </c>
    </row>
    <row r="63" spans="2:13" s="74" customFormat="1">
      <c r="B63" s="9" t="s">
        <v>218</v>
      </c>
      <c r="C63" s="7">
        <v>154.69999999999999</v>
      </c>
      <c r="D63" s="7">
        <v>149.30000000000001</v>
      </c>
      <c r="E63" s="7">
        <v>143.6</v>
      </c>
      <c r="F63" s="90">
        <v>137.5</v>
      </c>
      <c r="G63" s="90">
        <v>131</v>
      </c>
      <c r="H63" s="90">
        <v>124</v>
      </c>
      <c r="I63" s="90">
        <v>116.2</v>
      </c>
      <c r="J63" s="90">
        <v>107.5</v>
      </c>
      <c r="K63" s="90">
        <v>97.4</v>
      </c>
      <c r="L63" s="90">
        <v>85.1</v>
      </c>
      <c r="M63" s="91" t="s">
        <v>7</v>
      </c>
    </row>
    <row r="64" spans="2:13" s="74" customFormat="1">
      <c r="B64" s="9" t="s">
        <v>219</v>
      </c>
      <c r="C64" s="7">
        <v>165.2</v>
      </c>
      <c r="D64" s="7">
        <v>159.6</v>
      </c>
      <c r="E64" s="7">
        <v>153.80000000000001</v>
      </c>
      <c r="F64" s="90">
        <v>147.5</v>
      </c>
      <c r="G64" s="90">
        <v>140.69999999999999</v>
      </c>
      <c r="H64" s="90">
        <v>133.4</v>
      </c>
      <c r="I64" s="90">
        <v>125.2</v>
      </c>
      <c r="J64" s="90">
        <v>115.9</v>
      </c>
      <c r="K64" s="90">
        <v>105.1</v>
      </c>
      <c r="L64" s="90">
        <v>91.8</v>
      </c>
      <c r="M64" s="91" t="s">
        <v>198</v>
      </c>
    </row>
    <row r="65" spans="2:13" s="74" customFormat="1">
      <c r="B65" s="9" t="s">
        <v>220</v>
      </c>
      <c r="C65" s="7">
        <v>179.8</v>
      </c>
      <c r="D65" s="7">
        <v>174.1</v>
      </c>
      <c r="E65" s="7">
        <v>168.1</v>
      </c>
      <c r="F65" s="90">
        <v>161.69999999999999</v>
      </c>
      <c r="G65" s="90">
        <v>154.9</v>
      </c>
      <c r="H65" s="90">
        <v>147.6</v>
      </c>
      <c r="I65" s="90">
        <v>139.6</v>
      </c>
      <c r="J65" s="90">
        <v>130.80000000000001</v>
      </c>
      <c r="K65" s="90">
        <v>120.8</v>
      </c>
      <c r="L65" s="90">
        <v>108.6</v>
      </c>
      <c r="M65" s="91" t="s">
        <v>221</v>
      </c>
    </row>
    <row r="66" spans="2:13" s="74" customFormat="1">
      <c r="B66" s="9" t="s">
        <v>222</v>
      </c>
      <c r="C66" s="7">
        <v>189.6</v>
      </c>
      <c r="D66" s="7">
        <v>183.3</v>
      </c>
      <c r="E66" s="7">
        <v>176.6</v>
      </c>
      <c r="F66" s="90">
        <v>169.5</v>
      </c>
      <c r="G66" s="90">
        <v>161.69999999999999</v>
      </c>
      <c r="H66" s="90">
        <v>153.19999999999999</v>
      </c>
      <c r="I66" s="90">
        <v>143.80000000000001</v>
      </c>
      <c r="J66" s="90">
        <v>133.1</v>
      </c>
      <c r="K66" s="90">
        <v>120.7</v>
      </c>
      <c r="L66" s="90">
        <v>105.4</v>
      </c>
      <c r="M66" s="91" t="s">
        <v>210</v>
      </c>
    </row>
    <row r="67" spans="2:13" s="74" customFormat="1">
      <c r="B67" s="9" t="s">
        <v>223</v>
      </c>
      <c r="C67" s="7">
        <v>201.7</v>
      </c>
      <c r="D67" s="7">
        <v>195.8</v>
      </c>
      <c r="E67" s="7">
        <v>189.5</v>
      </c>
      <c r="F67" s="90">
        <v>182.8</v>
      </c>
      <c r="G67" s="90">
        <v>175.5</v>
      </c>
      <c r="H67" s="90">
        <v>167.6</v>
      </c>
      <c r="I67" s="90">
        <v>158.80000000000001</v>
      </c>
      <c r="J67" s="90">
        <v>148.9</v>
      </c>
      <c r="K67" s="90">
        <v>137.4</v>
      </c>
      <c r="L67" s="90">
        <v>123.2</v>
      </c>
      <c r="M67" s="91" t="s">
        <v>195</v>
      </c>
    </row>
    <row r="68" spans="2:13" s="74" customFormat="1">
      <c r="B68" s="9" t="s">
        <v>224</v>
      </c>
      <c r="C68" s="7">
        <v>203</v>
      </c>
      <c r="D68" s="7">
        <v>197.3</v>
      </c>
      <c r="E68" s="7">
        <v>191.2</v>
      </c>
      <c r="F68" s="90">
        <v>184.7</v>
      </c>
      <c r="G68" s="90">
        <v>177.6</v>
      </c>
      <c r="H68" s="90">
        <v>169.9</v>
      </c>
      <c r="I68" s="90">
        <v>161.4</v>
      </c>
      <c r="J68" s="90">
        <v>151.69999999999999</v>
      </c>
      <c r="K68" s="90">
        <v>140.6</v>
      </c>
      <c r="L68" s="90">
        <v>126.9</v>
      </c>
      <c r="M68" s="91" t="s">
        <v>195</v>
      </c>
    </row>
    <row r="69" spans="2:13" s="74" customFormat="1">
      <c r="B69" s="9" t="s">
        <v>225</v>
      </c>
      <c r="C69" s="7">
        <v>203.2</v>
      </c>
      <c r="D69" s="7">
        <v>197.6</v>
      </c>
      <c r="E69" s="7">
        <v>191.6</v>
      </c>
      <c r="F69" s="90">
        <v>185.3</v>
      </c>
      <c r="G69" s="90">
        <v>178.5</v>
      </c>
      <c r="H69" s="90">
        <v>171.1</v>
      </c>
      <c r="I69" s="90">
        <v>162.9</v>
      </c>
      <c r="J69" s="90">
        <v>153.69999999999999</v>
      </c>
      <c r="K69" s="90">
        <v>143.1</v>
      </c>
      <c r="L69" s="90">
        <v>130.30000000000001</v>
      </c>
      <c r="M69" s="91" t="s">
        <v>195</v>
      </c>
    </row>
    <row r="70" spans="2:13" s="74" customFormat="1">
      <c r="B70" s="9" t="s">
        <v>135</v>
      </c>
      <c r="C70" s="7">
        <v>213.2</v>
      </c>
      <c r="D70" s="7">
        <v>206.9</v>
      </c>
      <c r="E70" s="7">
        <v>200.2</v>
      </c>
      <c r="F70" s="90">
        <v>193</v>
      </c>
      <c r="G70" s="90">
        <v>185.1</v>
      </c>
      <c r="H70" s="90">
        <v>176.4</v>
      </c>
      <c r="I70" s="90">
        <v>166.6</v>
      </c>
      <c r="J70" s="90">
        <v>155.4</v>
      </c>
      <c r="K70" s="90">
        <v>142.19999999999999</v>
      </c>
      <c r="L70" s="90">
        <v>125.8</v>
      </c>
      <c r="M70" s="91" t="s">
        <v>210</v>
      </c>
    </row>
    <row r="71" spans="2:13" s="74" customFormat="1" ht="17.25" thickBot="1">
      <c r="B71" s="82" t="s">
        <v>226</v>
      </c>
      <c r="C71" s="13">
        <v>213.6</v>
      </c>
      <c r="D71" s="13">
        <v>207.7</v>
      </c>
      <c r="E71" s="13">
        <v>201.5</v>
      </c>
      <c r="F71" s="94">
        <v>194.8</v>
      </c>
      <c r="G71" s="94">
        <v>187.6</v>
      </c>
      <c r="H71" s="94">
        <v>179.8</v>
      </c>
      <c r="I71" s="94">
        <v>171.3</v>
      </c>
      <c r="J71" s="94">
        <v>161.69999999999999</v>
      </c>
      <c r="K71" s="94">
        <v>150.80000000000001</v>
      </c>
      <c r="L71" s="94">
        <v>137.4</v>
      </c>
      <c r="M71" s="95" t="s">
        <v>214</v>
      </c>
    </row>
    <row r="76" spans="2:13" ht="21.75">
      <c r="B76" s="85" t="s">
        <v>227</v>
      </c>
    </row>
    <row r="77" spans="2:13">
      <c r="B77" s="96"/>
    </row>
    <row r="78" spans="2:13">
      <c r="B78" s="97" t="s">
        <v>228</v>
      </c>
    </row>
    <row r="79" spans="2:13">
      <c r="B79" s="96"/>
    </row>
    <row r="80" spans="2:13">
      <c r="B80" s="98" t="s">
        <v>229</v>
      </c>
    </row>
    <row r="81" spans="2:2">
      <c r="B81" s="96"/>
    </row>
    <row r="82" spans="2:2">
      <c r="B82" s="97" t="s">
        <v>230</v>
      </c>
    </row>
    <row r="83" spans="2:2">
      <c r="B83" s="96"/>
    </row>
    <row r="84" spans="2:2">
      <c r="B84" s="97" t="s">
        <v>231</v>
      </c>
    </row>
    <row r="85" spans="2:2">
      <c r="B85" s="96"/>
    </row>
    <row r="86" spans="2:2">
      <c r="B86" s="97" t="s">
        <v>232</v>
      </c>
    </row>
    <row r="88" spans="2:2">
      <c r="B88" t="s">
        <v>233</v>
      </c>
    </row>
  </sheetData>
  <mergeCells count="10">
    <mergeCell ref="C38:D38"/>
    <mergeCell ref="E38:J38"/>
    <mergeCell ref="C39:D39"/>
    <mergeCell ref="E39:J39"/>
    <mergeCell ref="A5:A27"/>
    <mergeCell ref="A28:A31"/>
    <mergeCell ref="C36:D36"/>
    <mergeCell ref="E36:J36"/>
    <mergeCell ref="C37:D37"/>
    <mergeCell ref="E37:J37"/>
  </mergeCells>
  <phoneticPr fontId="2" type="noConversion"/>
  <conditionalFormatting sqref="B28">
    <cfRule type="duplicateValues" dxfId="1" priority="2"/>
  </conditionalFormatting>
  <conditionalFormatting sqref="B5:B2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25"/>
  <sheetViews>
    <sheetView workbookViewId="0">
      <selection activeCell="D12" sqref="D12"/>
    </sheetView>
  </sheetViews>
  <sheetFormatPr defaultRowHeight="16.5"/>
  <cols>
    <col min="3" max="6" width="24.75" style="74" customWidth="1"/>
    <col min="7" max="7" width="50.25" style="74" customWidth="1"/>
  </cols>
  <sheetData>
    <row r="2" spans="3:7">
      <c r="C2" s="99" t="s">
        <v>234</v>
      </c>
      <c r="D2" s="99" t="s">
        <v>235</v>
      </c>
      <c r="E2" s="99" t="s">
        <v>236</v>
      </c>
      <c r="F2" s="99" t="s">
        <v>237</v>
      </c>
      <c r="G2" s="99" t="s">
        <v>238</v>
      </c>
    </row>
    <row r="3" spans="3:7">
      <c r="C3" s="100" t="s">
        <v>135</v>
      </c>
      <c r="D3" s="100" t="s">
        <v>239</v>
      </c>
      <c r="E3" s="100" t="s">
        <v>240</v>
      </c>
      <c r="F3" s="100" t="s">
        <v>241</v>
      </c>
      <c r="G3" s="100" t="s">
        <v>242</v>
      </c>
    </row>
    <row r="4" spans="3:7">
      <c r="C4" s="100" t="s">
        <v>222</v>
      </c>
      <c r="D4" s="100" t="s">
        <v>239</v>
      </c>
      <c r="E4" s="100" t="s">
        <v>240</v>
      </c>
      <c r="F4" s="100" t="s">
        <v>241</v>
      </c>
      <c r="G4" s="100" t="s">
        <v>243</v>
      </c>
    </row>
    <row r="5" spans="3:7">
      <c r="C5" s="100" t="s">
        <v>244</v>
      </c>
      <c r="D5" s="100" t="s">
        <v>239</v>
      </c>
      <c r="E5" s="100" t="s">
        <v>240</v>
      </c>
      <c r="F5" s="100" t="s">
        <v>241</v>
      </c>
      <c r="G5" s="100" t="s">
        <v>245</v>
      </c>
    </row>
    <row r="6" spans="3:7">
      <c r="C6" s="100" t="s">
        <v>143</v>
      </c>
      <c r="D6" s="100" t="s">
        <v>239</v>
      </c>
      <c r="E6" s="100" t="s">
        <v>240</v>
      </c>
      <c r="F6" s="100" t="s">
        <v>241</v>
      </c>
      <c r="G6" s="100" t="s">
        <v>246</v>
      </c>
    </row>
    <row r="7" spans="3:7">
      <c r="C7" s="100" t="s">
        <v>247</v>
      </c>
      <c r="D7" s="100" t="s">
        <v>239</v>
      </c>
      <c r="E7" s="100" t="s">
        <v>240</v>
      </c>
      <c r="F7" s="100" t="s">
        <v>241</v>
      </c>
      <c r="G7" s="100" t="s">
        <v>248</v>
      </c>
    </row>
    <row r="8" spans="3:7">
      <c r="C8" s="100" t="s">
        <v>249</v>
      </c>
      <c r="D8" s="100" t="s">
        <v>239</v>
      </c>
      <c r="E8" s="100" t="s">
        <v>240</v>
      </c>
      <c r="F8" s="100" t="s">
        <v>250</v>
      </c>
      <c r="G8" s="100" t="s">
        <v>251</v>
      </c>
    </row>
    <row r="9" spans="3:7">
      <c r="C9" s="100" t="s">
        <v>196</v>
      </c>
      <c r="D9" s="100" t="s">
        <v>239</v>
      </c>
      <c r="E9" s="100" t="s">
        <v>240</v>
      </c>
      <c r="F9" s="100" t="s">
        <v>250</v>
      </c>
      <c r="G9" s="100" t="s">
        <v>252</v>
      </c>
    </row>
    <row r="10" spans="3:7">
      <c r="C10" s="100" t="s">
        <v>204</v>
      </c>
      <c r="D10" s="100" t="s">
        <v>239</v>
      </c>
      <c r="E10" s="100" t="s">
        <v>240</v>
      </c>
      <c r="F10" s="100" t="s">
        <v>250</v>
      </c>
      <c r="G10" s="100" t="s">
        <v>253</v>
      </c>
    </row>
    <row r="11" spans="3:7">
      <c r="C11" s="100" t="s">
        <v>223</v>
      </c>
      <c r="D11" s="100" t="s">
        <v>239</v>
      </c>
      <c r="E11" s="100" t="s">
        <v>240</v>
      </c>
      <c r="F11" s="100" t="s">
        <v>241</v>
      </c>
      <c r="G11" s="100" t="s">
        <v>254</v>
      </c>
    </row>
    <row r="12" spans="3:7">
      <c r="C12" s="100" t="s">
        <v>224</v>
      </c>
      <c r="D12" s="100" t="s">
        <v>239</v>
      </c>
      <c r="E12" s="100" t="s">
        <v>240</v>
      </c>
      <c r="F12" s="100" t="s">
        <v>250</v>
      </c>
      <c r="G12" s="100" t="s">
        <v>255</v>
      </c>
    </row>
    <row r="13" spans="3:7">
      <c r="C13" s="100" t="s">
        <v>199</v>
      </c>
      <c r="D13" s="100" t="s">
        <v>256</v>
      </c>
      <c r="E13" s="100" t="s">
        <v>240</v>
      </c>
      <c r="F13" s="100" t="s">
        <v>101</v>
      </c>
      <c r="G13" s="100" t="s">
        <v>257</v>
      </c>
    </row>
    <row r="14" spans="3:7">
      <c r="C14" s="100" t="s">
        <v>202</v>
      </c>
      <c r="D14" s="100" t="s">
        <v>256</v>
      </c>
      <c r="E14" s="100" t="s">
        <v>258</v>
      </c>
      <c r="F14" s="100" t="s">
        <v>101</v>
      </c>
      <c r="G14" s="100" t="s">
        <v>259</v>
      </c>
    </row>
    <row r="15" spans="3:7">
      <c r="C15" s="100" t="s">
        <v>197</v>
      </c>
      <c r="D15" s="100" t="s">
        <v>256</v>
      </c>
      <c r="E15" s="100" t="s">
        <v>260</v>
      </c>
      <c r="F15" s="100" t="s">
        <v>105</v>
      </c>
      <c r="G15" s="100" t="s">
        <v>261</v>
      </c>
    </row>
    <row r="16" spans="3:7">
      <c r="C16" s="100" t="s">
        <v>262</v>
      </c>
      <c r="D16" s="100" t="s">
        <v>256</v>
      </c>
      <c r="E16" s="100" t="s">
        <v>260</v>
      </c>
      <c r="F16" s="100" t="s">
        <v>101</v>
      </c>
      <c r="G16" s="100" t="s">
        <v>263</v>
      </c>
    </row>
    <row r="17" spans="3:7">
      <c r="C17" s="100" t="s">
        <v>217</v>
      </c>
      <c r="D17" s="100" t="s">
        <v>256</v>
      </c>
      <c r="E17" s="100" t="s">
        <v>264</v>
      </c>
      <c r="F17" s="100" t="s">
        <v>105</v>
      </c>
      <c r="G17" s="100" t="s">
        <v>265</v>
      </c>
    </row>
    <row r="18" spans="3:7">
      <c r="C18" s="100" t="s">
        <v>213</v>
      </c>
      <c r="D18" s="100" t="s">
        <v>256</v>
      </c>
      <c r="E18" s="100" t="s">
        <v>264</v>
      </c>
      <c r="F18" s="100" t="s">
        <v>105</v>
      </c>
      <c r="G18" s="100" t="s">
        <v>266</v>
      </c>
    </row>
    <row r="19" spans="3:7">
      <c r="C19" s="100" t="s">
        <v>267</v>
      </c>
      <c r="D19" s="100" t="s">
        <v>256</v>
      </c>
      <c r="E19" s="100" t="s">
        <v>268</v>
      </c>
      <c r="F19" s="100" t="s">
        <v>269</v>
      </c>
      <c r="G19" s="100" t="s">
        <v>270</v>
      </c>
    </row>
    <row r="20" spans="3:7">
      <c r="C20" s="100" t="s">
        <v>226</v>
      </c>
      <c r="D20" s="100" t="s">
        <v>271</v>
      </c>
      <c r="E20" s="100" t="s">
        <v>272</v>
      </c>
      <c r="F20" s="100" t="s">
        <v>105</v>
      </c>
      <c r="G20" s="100" t="s">
        <v>273</v>
      </c>
    </row>
    <row r="21" spans="3:7">
      <c r="C21" s="100" t="s">
        <v>215</v>
      </c>
      <c r="D21" s="100" t="s">
        <v>271</v>
      </c>
      <c r="E21" s="100" t="s">
        <v>264</v>
      </c>
      <c r="F21" s="100" t="s">
        <v>274</v>
      </c>
      <c r="G21" s="100" t="s">
        <v>275</v>
      </c>
    </row>
    <row r="22" spans="3:7">
      <c r="C22" s="100" t="s">
        <v>211</v>
      </c>
      <c r="D22" s="100" t="s">
        <v>271</v>
      </c>
      <c r="E22" s="100" t="s">
        <v>264</v>
      </c>
      <c r="F22" s="100" t="s">
        <v>274</v>
      </c>
      <c r="G22" s="100" t="s">
        <v>276</v>
      </c>
    </row>
    <row r="23" spans="3:7">
      <c r="C23" s="100" t="s">
        <v>205</v>
      </c>
      <c r="D23" s="100" t="s">
        <v>271</v>
      </c>
      <c r="E23" s="100" t="s">
        <v>264</v>
      </c>
      <c r="F23" s="100" t="s">
        <v>274</v>
      </c>
      <c r="G23" s="100" t="s">
        <v>277</v>
      </c>
    </row>
    <row r="24" spans="3:7">
      <c r="C24" s="100" t="s">
        <v>220</v>
      </c>
      <c r="D24" s="100" t="s">
        <v>271</v>
      </c>
      <c r="E24" s="100" t="s">
        <v>264</v>
      </c>
      <c r="F24" s="100" t="s">
        <v>274</v>
      </c>
      <c r="G24" s="100" t="s">
        <v>278</v>
      </c>
    </row>
    <row r="25" spans="3:7">
      <c r="C25" s="100" t="s">
        <v>209</v>
      </c>
      <c r="D25" s="100" t="s">
        <v>279</v>
      </c>
      <c r="E25" s="100" t="s">
        <v>280</v>
      </c>
      <c r="F25" s="100" t="s">
        <v>241</v>
      </c>
      <c r="G25" s="100" t="s">
        <v>281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그래프</vt:lpstr>
      <vt:lpstr>고분자 18종 특성 요약</vt:lpstr>
      <vt:lpstr>용매 특성 요약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PSH</dc:creator>
  <cp:lastModifiedBy>PSH</cp:lastModifiedBy>
  <dcterms:created xsi:type="dcterms:W3CDTF">2026-01-13T03:37:20Z</dcterms:created>
  <dcterms:modified xsi:type="dcterms:W3CDTF">2026-01-13T03:40:36Z</dcterms:modified>
</cp:coreProperties>
</file>